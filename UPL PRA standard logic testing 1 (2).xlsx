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maryanne_ioannides_santander_co_uk/Documents/sunsetting/UPL/"/>
    </mc:Choice>
  </mc:AlternateContent>
  <xr:revisionPtr revIDLastSave="190" documentId="8_{8A40E4D5-8B3C-4B37-B3A1-177EAE260D8A}" xr6:coauthVersionLast="47" xr6:coauthVersionMax="47" xr10:uidLastSave="{A6966860-0FA0-476D-9C2F-4F1DA29E2F2F}"/>
  <bookViews>
    <workbookView xWindow="-28920" yWindow="-120" windowWidth="29040" windowHeight="15840" firstSheet="6" activeTab="10" xr2:uid="{E4B56610-9D60-40DE-85E5-5EC3F5B0BD36}"/>
  </bookViews>
  <sheets>
    <sheet name="Summary" sheetId="2" r:id="rId1"/>
    <sheet name="results summary" sheetId="12" r:id="rId2"/>
    <sheet name="cl_dpd bankrupt ind logic" sheetId="1" r:id="rId3"/>
    <sheet name="cl_dpd_ahc" sheetId="7" r:id="rId4"/>
    <sheet name="contract_loan_dpd regress" sheetId="6" r:id="rId5"/>
    <sheet name=" upl_bh_score_model logic" sheetId="3" r:id="rId6"/>
    <sheet name="upl_bh_sc_model_reg" sheetId="8" r:id="rId7"/>
    <sheet name=" main_UPL_driver" sheetId="4" r:id="rId8"/>
    <sheet name="UPL PRA model logic- regression" sheetId="10" r:id="rId9"/>
    <sheet name="UPL PRA model vs  Methodology " sheetId="11" r:id="rId10"/>
    <sheet name="RRDS" sheetId="9" r:id="rId11"/>
    <sheet name="sheet" sheetId="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9" l="1"/>
  <c r="I52" i="9"/>
  <c r="J52" i="9"/>
  <c r="K52" i="9"/>
  <c r="G52" i="9"/>
</calcChain>
</file>

<file path=xl/sharedStrings.xml><?xml version="1.0" encoding="utf-8"?>
<sst xmlns="http://schemas.openxmlformats.org/spreadsheetml/2006/main" count="3053" uniqueCount="1509">
  <si>
    <t>Results Comparison</t>
  </si>
  <si>
    <t>date_processed</t>
  </si>
  <si>
    <t>source_system_application</t>
  </si>
  <si>
    <t>count(*)</t>
  </si>
  <si>
    <t>matchapplication_score_date</t>
  </si>
  <si>
    <t>nomatchapplication_score_date</t>
  </si>
  <si>
    <t>both_null_application_score_date</t>
  </si>
  <si>
    <t>risk_dec_null_appl_bnkg_notnull_application_score_date</t>
  </si>
  <si>
    <t>risk_dec_notnull_appl_bnkg_nul_application_score_date</t>
  </si>
  <si>
    <t>matchapplication_score</t>
  </si>
  <si>
    <t>nomatchapplication_score</t>
  </si>
  <si>
    <t>both_null_application_score</t>
  </si>
  <si>
    <t>risk_dec_null_appl_bnkg_notnull_application_score</t>
  </si>
  <si>
    <t>risk_dec_notnull_appl_bnkg_nul_application_score</t>
  </si>
  <si>
    <t>matchapplication_score_id</t>
  </si>
  <si>
    <t>nomatchapplication_score_id</t>
  </si>
  <si>
    <t>both_null_application_score_id</t>
  </si>
  <si>
    <t>risk_dec_null_appl_bnkg_notnull_application_score_id</t>
  </si>
  <si>
    <t>risk_dec_notnull_appl_bnkg_nul_application_score_id</t>
  </si>
  <si>
    <t>Logic Check Code</t>
  </si>
  <si>
    <t>PROD DC2 EXPLORATION AREA</t>
  </si>
  <si>
    <t>PRE PRODUCTION</t>
  </si>
  <si>
    <t>SKAKEDOWN PROD DC1 ACM1</t>
  </si>
  <si>
    <t>SHAKEDOWN PROD DC1 ACM2</t>
  </si>
  <si>
    <t>No Match Analysis</t>
  </si>
  <si>
    <t>Logic Code</t>
  </si>
  <si>
    <t>UPL PRA Sunsetting Sept 2024</t>
  </si>
  <si>
    <t>Changes applied</t>
  </si>
  <si>
    <t xml:space="preserve">UPL PRA </t>
  </si>
  <si>
    <t xml:space="preserve">as is Current (production) </t>
  </si>
  <si>
    <t>Run ID</t>
  </si>
  <si>
    <t>ACM2</t>
  </si>
  <si>
    <t>DC1</t>
  </si>
  <si>
    <t>retail_capital_enriched.</t>
  </si>
  <si>
    <t>main_upl_driver</t>
  </si>
  <si>
    <t>main_upl_model_partitions</t>
  </si>
  <si>
    <t> Running since 2023-10-31</t>
  </si>
  <si>
    <t>MCM4</t>
  </si>
  <si>
    <t>prod_retail_capital_enriched.:</t>
  </si>
  <si>
    <t>multi_entity_capital_enriched:</t>
  </si>
  <si>
    <t>Capital_RRDS_fact</t>
  </si>
  <si>
    <t>economic_capital_partitions</t>
  </si>
  <si>
    <t>DCM7 to DCM11 for Delphi_bankruptcy_ind</t>
  </si>
  <si>
    <t xml:space="preserve">contract_loan_dpd_partitions </t>
  </si>
  <si>
    <t> upl_bh_score_model_partitions</t>
  </si>
  <si>
    <t>upl_bh_score_model_partitions</t>
  </si>
  <si>
    <t>change mapping to use bureau_reference_partitions as source for DCM11 - no impact</t>
  </si>
  <si>
    <t> main_UPL_driver (include partial separation)</t>
  </si>
  <si>
    <t>no model change functionality change</t>
  </si>
  <si>
    <t>new bh_score used in Calc_pd_fctr  sourced from upl_bh_score_model_partitions.bh_score, join on model=UK.
Existing pd_score in model not changed.</t>
  </si>
  <si>
    <t xml:space="preserve">T01 - </t>
  </si>
  <si>
    <t>select</t>
  </si>
  <si>
    <t>count(src.contract_id) src_contract_idcount,</t>
  </si>
  <si>
    <t>count(tgt.contract_id) tgt_contract_idcount,</t>
  </si>
  <si>
    <t>count(src.contract_id)-sum(case when (src.contract_id = tgt.contract_id) or (src.contract_id is null and tgt.contract_id  is null ) then 1 else 0 end) contract_id_count,</t>
  </si>
  <si>
    <t>count(src.contract_id)-sum(case when (src.days_past_due_mnths = tgt.days_past_due_mnths) or (src.days_past_due_mnths is null and tgt.days_past_due_mnths  is null ) then 1 else 0 end) days_past_due_mnths_count,</t>
  </si>
  <si>
    <t>count(src.contract_id)-sum(case when (src.dpd_type = tgt.dpd_type) or (src.dpd_type is null and tgt.dpd_type  is null ) then 1 else 0 end) dpd_type_count,</t>
  </si>
  <si>
    <t>count(src.contract_id)-sum(case when (src.overterm_mnths = tgt.overterm_mnths) or (src.overterm_mnths is null and tgt.overterm_mnths  is null ) then 1 else 0 end) overterm_mnths_count,</t>
  </si>
  <si>
    <t>count(src.contract_id)-sum(case when (src.delphi_bankruptcy_ind = tgt.delphi_bankruptcy_ind) or (src.delphi_bankruptcy_ind is null and tgt.delphi_bankruptcy_ind  is null ) then 1 else 0 end) delphi_bankruptcy_ind_count,</t>
  </si>
  <si>
    <t>count(src.contract_id)-sum(case when (src.net_outstanding_bal = tgt.net_outstanding_bal) or (src.net_outstanding_bal is null and tgt.net_outstanding_bal  is null ) then 1 else 0 end) net_outstanding_bal_count,</t>
  </si>
  <si>
    <t>count(src.contract_id)-sum(case when (src.orig_calc_instlm_down_qty = tgt.orig_calc_instlm_down_qty) or (src.orig_calc_instlm_down_qty is null and tgt.orig_calc_instlm_down_qty  is null ) then 1 else 0 end) orig_calc_instlm_down_qty_count,</t>
  </si>
  <si>
    <t>count(src.contract_id)-sum(case when (src.instalments_down_qty = tgt.instalments_down_qty) or (src.instalments_down_qty is null and tgt.instalments_down_qty  is null ) then 1 else 0 end) instalments_down_qty_count,</t>
  </si>
  <si>
    <t>count(src.contract_id)-sum(case when (src.worst_mths_arrears_l12m = tgt.worst_mths_arrears_l12m) or (src.worst_mths_arrears_l12m is null and tgt.worst_mths_arrears_l12m  is null ) then 1 else 0 end) worst_mths_arrears_l12m_count,</t>
  </si>
  <si>
    <t>count(src.contract_id)-sum(case when (src.lastinarrears_date = tgt.lastinarrears_date) or (src.lastinarrears_date is null and tgt.lastinarrears_date  is null ) then 1 else 0 end) lastinarrears_date_count,</t>
  </si>
  <si>
    <t>count(src.contract_id)-sum(case when (src.tob_mnths_cnt = tgt.tob_mnths_cnt) or (src.tob_mnths_cnt is null and tgt.tob_mnths_cnt  is null ) then 1 else 0 end) tob_mnths_cnt_count,</t>
  </si>
  <si>
    <t>count(src.contract_id)-sum(case when (src.mnths_remaining_term = tgt.mnths_remaining_term) or (src.mnths_remaining_term is null and tgt.mnths_remaining_term  is null ) then 1 else 0 end) mnths_remaining_term_count,</t>
  </si>
  <si>
    <t>count(src.contract_id)-sum(case when (src.ahc_ind_6md_tob_lt4m = tgt.ahc_ind_6md_tob_lt4m) or (src.ahc_ind_6md_tob_lt4m is null and tgt.ahc_ind_6md_tob_lt4m  is null ) then 1 else 0 end) ahc_ind_6md_tob_lt4m_count,</t>
  </si>
  <si>
    <t>count(src.contract_id)-sum(case when (src.ahc_ind_6md_l12m = tgt.ahc_ind_6md_l12m) or (src.ahc_ind_6md_l12m is null and tgt.ahc_ind_6md_l12m  is null ) then 1 else 0 end) ahc_ind_6md_l12m_count,</t>
  </si>
  <si>
    <t>count(src.contract_id)-sum(case when (src.arrears_history_cde = tgt.arrears_history_cde) or (src.arrears_history_cde is null and tgt.arrears_history_cde  is null ) then 1 else 0 end) arrears_history_cde_count,</t>
  </si>
  <si>
    <t>count(src.contract_id)-sum(case when (src.mths_since_last_arrears_imd = tgt.mths_since_last_arrears_imd) or (src.mths_since_last_arrears_imd is null and tgt.mths_since_last_arrears_imd  is null ) then 1 else 0 end) mths_since_last_arrears_imd_count,</t>
  </si>
  <si>
    <t>count(src.contract_id)-sum(case when (src.worst_mths_arrears_l12m_imd = tgt.worst_mths_arrears_l12m_imd) or (src.worst_mths_arrears_l12m_imd is null and tgt.worst_mths_arrears_l12m_imd  is null ) then 1 else 0 end) worst_mths_arrears_l12m_imd_count,</t>
  </si>
  <si>
    <t>count(src.contract_id)-sum(case when (src.date_processed = tgt.date_processed) or (src.date_processed is null and tgt.date_processed  is null ) then 1 else 0 end) date_processed_count,</t>
  </si>
  <si>
    <t>count(src.contract_id)-sum(case when (src.source_system = tgt.source_system) or (src.source_system is null and tgt.source_system  is null ) then 1 else 0 end) source_system_count</t>
  </si>
  <si>
    <t>from</t>
  </si>
  <si>
    <t xml:space="preserve">(select * from multi_entity_contracts_enriched.contract_loan_dpd_month_partitions </t>
  </si>
  <si>
    <t>where date_processed = "2024-09-30") src</t>
  </si>
  <si>
    <t>full outer join</t>
  </si>
  <si>
    <t xml:space="preserve">(select * from exp_capital_team.contract_loan_dpd_month_partitions </t>
  </si>
  <si>
    <t>where date_processed = "2024-09-30") tgt</t>
  </si>
  <si>
    <t>on src.contract_id = tgt.contract_id</t>
  </si>
  <si>
    <t>select  
count(*),
count(case when src.delphi_bankruptcy_ind= tgt.delphi_bankruptcy_ind then 1 end ) as match,
count(case when src.delphi_bankruptcy_ind&lt;&gt; tgt.delphi_bankruptcy_ind then 1 end ) as NO_match,
count(case when src.delphi_bankruptcy_ind is null and  tgt.delphi_bankruptcy_ind is null then 1 end ) as both_null,
count(case when src.delphi_bankruptcy_ind is null and  tgt.delphi_bankruptcy_ind is not null then 1 end ) as src_is_null_tgt_is_not_null,
count(case when src.delphi_bankruptcy_ind is not null and  tgt.delphi_bankruptcy_ind is null then 1 end ) as src_is_not_null_tgt_is_null
from
(select contractLoan.contract_id, case when delphi_bankruptcy_ind_list like "%Y%" then "Y" else "N" end as delphi_bankruptcy_ind from 
(SELECT contract_id,arrears_balance_amt,repayment_amt,repayment_chg_amt_curr_mnth
from retail_contracts_enriched.contract_loan_month_partitions
where date_processed = '2024-09-30' and source_system = 'PARTENON_RETAIL') contractLoan
left outer join
(select contract_id, group_concat(dcm_ea1_c_01) as delphi_bankruptcy_ind_list
from
(SELECT contract_id, source_system, customer_id, date_processed
from multi_entity_customer_enriched.customer_contract_partitions
where date_processed = '2024-09-30' and source_system = 'PARTENON_RETAIL' and type_of_intervention = '01') customerContPart
join
(SELECT substring(customer_id,1,1) as bdp_customer_type,substring(customer_id,2,length(customer_id)) as bdp_customer_number, bankruptcy_detected_sp as dcm_ea1_c_01, date_processed
from multi_entity_customer_enriched.bureau_reference_partitions
where date_processed between '2024-09-01' and '2024-09-30') dcmv7Part
on customerContPart.customer_id = concat(dcmv7Part.bdp_customer_type, dcmv7Part.bdp_customer_number)
group by contract_id) as custJoinWithDcmv7
on contractLoan.contract_id = custJoinWithDcmv7.contract_id) src
full outer join
(select * from exp_capital_team.contract_loan_dpd_month_partitions
where date_processed = "2024-09-30") tgt
on src.contract_id = tgt.contract_id;</t>
  </si>
  <si>
    <t xml:space="preserve"> src_contract_idcount </t>
  </si>
  <si>
    <t xml:space="preserve"> tgt_contract_idcount </t>
  </si>
  <si>
    <t xml:space="preserve"> contract_id_count </t>
  </si>
  <si>
    <t xml:space="preserve"> days_past_due_mnths_count </t>
  </si>
  <si>
    <t xml:space="preserve"> dpd_type_count </t>
  </si>
  <si>
    <t xml:space="preserve"> overterm_mnths_count </t>
  </si>
  <si>
    <t xml:space="preserve"> delphi_bankruptcy_ind_count </t>
  </si>
  <si>
    <t xml:space="preserve"> net_outstanding_bal_count </t>
  </si>
  <si>
    <t xml:space="preserve"> orig_calc_instlm_down_qty_count </t>
  </si>
  <si>
    <t xml:space="preserve"> instalments_down_qty_count </t>
  </si>
  <si>
    <t xml:space="preserve"> worst_mths_arrears_l12m_count </t>
  </si>
  <si>
    <t xml:space="preserve"> lastinarrears_date_count </t>
  </si>
  <si>
    <t xml:space="preserve"> tob_mnths_cnt_count </t>
  </si>
  <si>
    <t xml:space="preserve"> mnths_remaining_term_count </t>
  </si>
  <si>
    <t xml:space="preserve"> ahc_ind_6md_tob_lt4m_count </t>
  </si>
  <si>
    <t xml:space="preserve"> ahc_ind_6md_l12m_count </t>
  </si>
  <si>
    <t xml:space="preserve"> arrears_history_cde_count </t>
  </si>
  <si>
    <t xml:space="preserve"> mths_since_last_arrears_imd_count </t>
  </si>
  <si>
    <t xml:space="preserve"> worst_mths_arrears_l12m_imd_count </t>
  </si>
  <si>
    <t xml:space="preserve"> date_processed_count </t>
  </si>
  <si>
    <t xml:space="preserve"> source_system_count </t>
  </si>
  <si>
    <t>select count(*), tgt.date_processed,</t>
  </si>
  <si>
    <t>group by date_processed</t>
  </si>
  <si>
    <t xml:space="preserve"> count(*) </t>
  </si>
  <si>
    <t xml:space="preserve"> date_processed </t>
  </si>
  <si>
    <t>+----------+----------------+----------------------+----------------------+-------------------+---------------------------+----------------+----------------------+-----------------------------+---------------------------+---------------------------------+</t>
  </si>
  <si>
    <t xml:space="preserve"> 2024-09-30     </t>
  </si>
  <si>
    <t>match</t>
  </si>
  <si>
    <t>no_match</t>
  </si>
  <si>
    <t>both_null</t>
  </si>
  <si>
    <t>src_is_null_tgt_is_not_null</t>
  </si>
  <si>
    <t>src_is_not_null_tgt_is_null</t>
  </si>
  <si>
    <t>select  exp_table.date_processed
count(*),
count(case when arrears_history_cde= arrears_history_cde_test then 1 end ) as match,
count(case when arrears_history_cde&lt;&gt; arrears_history_cde_test then 1 end ) as NO_match,
count(case when arrears_history_cde is null and  arrears_history_cde_test is null then 1 end ) as both_null,
count(case when arrears_history_cde is null and  arrears_history_cde_test is not null then 1 end ) as output_is_null_logic_is_not_null,
count(case when arrears_history_cde is not null and  arrears_history_cde_test is null then 1 end ) as output_is_not_null_logic_is_null
from
(select 
arrears_history_cde,
case 
when delphi_bankruptcy_ind = "Y" then 5
when net_outstanding_bal &lt; -10 and overterm_mnths &gt;= 3 then 5
when net_outstanding_bal &lt; -10 and overterm_mnths + (orig_calc_instlm_down_qty * -1) &gt;= 3 then 5
when ahc_ind_6md_tob_lt4m = "Y" or instalments_down_qty &gt;= 3 or (mnths_remaining_term &lt; 0 and (abs(mnths_remaining_term - instalments_down_qty) &gt;= 3 or
              abs(mnths_remaining_term + instalments_down_qty) &gt;= 3)) then 5
when ((instalments_down_qty = 0) or (instalments_down_qty &gt; 0 and instalments_down_qty &lt; 3)) and worst_mths_arrears_l12m &gt;= 3 then 4
when instalments_down_qty &gt; 0 and worst_mths_arrears_l12m &gt; 0 and worst_mths_arrears_l12m &lt; 3 then 2
when instalments_down_qty = 0 and worst_mths_arrears_l12m &gt; 0 and worst_mths_arrears_l12m &lt; 3 then 1
else 0 end as arrears_history_cde_test
from exp_capital_team.contract_loan_dpd_month_partitions
where date_processed = "2024-09-30") exp_table</t>
  </si>
  <si>
    <t>output_is_null_logic_is_not_null</t>
  </si>
  <si>
    <t>output_is_not_null_logic_is_null</t>
  </si>
  <si>
    <t>Reg check with prod</t>
  </si>
  <si>
    <t>select count(*),exp.date_processed,
count(case when prod.contract_source_system = exp.contract_source_system or ( prod.contract_source_system is null and exp.contract_source_system is null) then 1 end) as 'match contract_source_system', 
count(case when prod.contract_source_system &lt;&gt; exp.contract_source_system then 1 end) as 'NO match contract_source_system', 
count(case when prod.contract_source_system is null and exp.contract_source_system is not null then 1 end) as 'prod null exp Not null contract_source_system', 
count(case when prod.contract_source_system is not null and exp.contract_source_system is null then 1 end) as 'prod NOT null exp null contract_source_system',
count(case when prod.cntr_contract_id = exp.cntr_contract_id or ( prod.cntr_contract_id is null and exp.cntr_contract_id is null) then 1 end) as 'match cntr_contract_id', 
count(case when prod.cntr_contract_id &lt;&gt; exp.cntr_contract_id then 1 end) as 'NO match cntr_contract_id', 
count(case when prod.cntr_contract_id is null and exp.cntr_contract_id is not null then 1 end) as 'prod null exp Not null cntr_contract_id', 
count(case when prod.cntr_contract_id is not null and exp.cntr_contract_id is null then 1 end) as 'prod NOT null exp null cntr_contract_id',
count(case when prod.holding_reference = exp.holding_reference or ( prod.holding_reference is null and exp.holding_reference is null) then 1 end) as 'match holding_reference', 
count(case when prod.holding_reference &lt;&gt; exp.holding_reference then 1 end) as 'NO match holding_reference', 
count(case when prod.holding_reference is null and exp.holding_reference is not null then 1 end) as 'prod null exp Not null holding_reference', 
count(case when prod.holding_reference is not null and exp.holding_reference is null then 1 end) as 'prod NOT null exp null holding_reference',
count(case when prod.arrears_balance_amt = exp.arrears_balance_amt or ( prod.arrears_balance_amt is null and exp.arrears_balance_amt is null) then 1 end) as 'match arrears_balance_amt', 
count(case when prod.arrears_balance_amt &lt;&gt; exp.arrears_balance_amt then 1 end) as 'NO match arrears_balance_amt', 
count(case when prod.arrears_balance_amt is null and exp.arrears_balance_amt is not null then 1 end) as 'prod null exp Not null arrears_balance_amt', 
count(case when prod.arrears_balance_amt is not null and exp.arrears_balance_amt is null then 1 end) as 'prod NOT null exp null arrears_balance_amt',
count(case when prod.cad_12m_count = exp.cad_12m_count or ( prod.cad_12m_count is null and exp.cad_12m_count is null) then 1 end) as 'match cad_12m_count', 
count(case when prod.cad_12m_count &lt;&gt; exp.cad_12m_count then 1 end) as 'NO match cad_12m_count', 
count(case when prod.cad_12m_count is null and exp.cad_12m_count is not null then 1 end) as 'prod null exp Not null cad_12m_count', 
count(case when prod.cad_12m_count is not null and exp.cad_12m_count is null then 1 end) as 'prod NOT null exp null cad_12m_count',
count(case when prod.cai_1m_flag = exp.cai_1m_flag or ( prod.cai_1m_flag is null and exp.cai_1m_flag is null) then 1 end) as 'match cai_1m_flag', 
count(case when prod.cai_1m_flag &lt;&gt; exp.cai_1m_flag then 1 end) as 'NO match cai_1m_flag', 
count(case when prod.cai_1m_flag is null and exp.cai_1m_flag is not null then 1 end) as 'prod null exp Not null cai_1m_flag', 
count(case when prod.cai_1m_flag is not null and exp.cai_1m_flag is null then 1 end) as 'prod NOT null exp null cai_1m_flag',
count(case when prod.cust_age_max = exp.cust_age_max or ( prod.cust_age_max is null and exp.cust_age_max is null) then 1 end) as 'match cust_age_max', 
count(case when prod.cust_age_max &lt;&gt; exp.cust_age_max then 1 end) as 'NO match cust_age_max', 
count(case when prod.cust_age_max is null and exp.cust_age_max is not null then 1 end) as 'prod null exp Not null cust_age_max', 
count(case when prod.cust_age_max is not null and exp.cust_age_max is null then 1 end) as 'prod NOT null exp null cust_age_max',
count(case when prod.loan_term = exp.loan_term or ( prod.loan_term is null and exp.loan_term is null) then 1 end) as 'match loan_term', 
count(case when prod.loan_term &lt;&gt; exp.loan_term then 1 end) as 'NO match loan_term', 
count(case when prod.loan_term is null and exp.loan_term is not null then 1 end) as 'prod null exp Not null loan_term', 
count(case when prod.loan_term is not null and exp.loan_term is null then 1 end) as 'prod NOT null exp null loan_term',
count(case when prod.mnths_remaining_term = exp.mnths_remaining_term or ( prod.mnths_remaining_term is null and exp.mnths_remaining_term is null) then 1 end) as 'match mnths_remaining_term', 
count(case when prod.mnths_remaining_term &lt;&gt; exp.mnths_remaining_term then 1 end) as 'NO match mnths_remaining_term', 
count(case when prod.mnths_remaining_term is null and exp.mnths_remaining_term is not null then 1 end) as 'prod null exp Not null mnths_remaining_term', 
count(case when prod.mnths_remaining_term is not null and exp.mnths_remaining_term is null then 1 end) as 'prod NOT null exp null mnths_remaining_term',
count(case when prod.original_loan_amt = exp.original_loan_amt or ( prod.original_loan_amt is null and exp.original_loan_amt is null) then 1 end) as 'match original_loan_amt', 
count(case when prod.original_loan_amt &lt;&gt; exp.original_loan_amt then 1 end) as 'NO match original_loan_amt', 
count(case when prod.original_loan_amt is null and exp.original_loan_amt is not null then 1 end) as 'prod null exp Not null original_loan_amt', 
count(case when prod.original_loan_amt is not null and exp.original_loan_amt is null then 1 end) as 'prod NOT null exp null original_loan_amt',
count(case when prod.period_end_balance_amt = exp.period_end_balance_amt or ( prod.period_end_balance_amt is null and exp.period_end_balance_amt is null) then 1 end) as 'match period_end_balance_amt', 
count(case when prod.period_end_balance_amt &lt;&gt; exp.period_end_balance_amt then 1 end) as 'NO match period_end_balance_amt', 
count(case when prod.period_end_balance_amt is null and exp.period_end_balance_amt is not null then 1 end) as 'prod null exp Not null period_end_balance_amt', 
count(case when prod.period_end_balance_amt is not null and exp.period_end_balance_amt is null then 1 end) as 'prod NOT null exp null period_end_balance_amt',
count(case when prod.pra_daily_dpd_upg = exp.pra_daily_dpd_upg or ( prod.pra_daily_dpd_upg is null and exp.pra_daily_dpd_upg is null) then 1 end) as 'match pra_daily_dpd_upg', 
count(case when prod.pra_daily_dpd_upg &lt;&gt; exp.pra_daily_dpd_upg then 1 end) as 'NO match pra_daily_dpd_upg', 
count(case when prod.pra_daily_dpd_upg is null and exp.pra_daily_dpd_upg is not null then 1 end) as 'prod null exp Not null pra_daily_dpd_upg', 
count(case when prod.pra_daily_dpd_upg is not null and exp.pra_daily_dpd_upg is null then 1 end) as 'prod NOT null exp null pra_daily_dpd_upg',
count(case when prod.pra_mia = exp.pra_mia or ( prod.pra_mia is null and exp.pra_mia is null) then 1 end) as 'match pra_mia', 
count(case when prod.pra_mia &lt;&gt; exp.pra_mia then 1 end) as 'NO match pra_mia', 
count(case when prod.pra_mia is null and exp.pra_mia is not null then 1 end) as 'prod null exp Not null pra_mia', 
count(case when prod.pra_mia is not null and exp.pra_mia is null then 1 end) as 'prod NOT null exp null pra_mia',
count(case when prod.single_joint_holder_ind = exp.single_joint_holder_ind or ( prod.single_joint_holder_ind is null and exp.single_joint_holder_ind is null) then 1 end) as 'match single_joint_holder_ind', 
count(case when prod.single_joint_holder_ind &lt;&gt; exp.single_joint_holder_ind then 1 end) as 'NO match single_joint_holder_ind', 
count(case when prod.single_joint_holder_ind is null and exp.single_joint_holder_ind is not null then 1 end) as 'prod null exp Not null single_joint_holder_ind', 
count(case when prod.single_joint_holder_ind is not null and exp.single_joint_holder_ind is null then 1 end) as 'prod NOT null exp null single_joint_holder_ind',
count(case when prod.gg_max = exp.gg_max or ( prod.gg_max is null and exp.gg_max is null) then 1 end) as 'match gg_max', 
count(case when prod.gg_max &lt;&gt; exp.gg_max then 1 end) as 'NO match gg_max', 
count(case when prod.gg_max is null and exp.gg_max is not null then 1 end) as 'prod null exp Not null gg_max', 
count(case when prod.gg_max is not null and exp.gg_max is null then 1 end) as 'prod NOT null exp null gg_max',
count(case when prod.hn_min = exp.hn_min or ( prod.hn_min is null and exp.hn_min is null) then 1 end) as 'match hn_min', 
count(case when prod.hn_min &lt;&gt; exp.hn_min then 1 end) as 'NO match hn_min', 
count(case when prod.hn_min is null and exp.hn_min is not null then 1 end) as 'prod null exp Not null hn_min', 
count(case when prod.hn_min is not null and exp.hn_min is null then 1 end) as 'prod NOT null exp null hn_min',
count(case when prod.mhc_max = exp.mhc_max or ( prod.mhc_max is null and exp.mhc_max is null) then 1 end) as 'match mhc_max', 
count(case when prod.mhc_max &lt;&gt; exp.mhc_max then 1 end) as 'NO match mhc_max', 
count(case when prod.mhc_max is null and exp.mhc_max is not null then 1 end) as 'prod null exp Not null mhc_max', 
count(case when prod.mhc_max is not null and exp.mhc_max is null then 1 end) as 'prod NOT null exp null mhc_max',
count(case when prod.seb_max = exp.seb_max or ( prod.seb_max is null and exp.seb_max is null) then 1 end) as 'match seb_max', 
count(case when prod.seb_max &lt;&gt; exp.seb_max then 1 end) as 'NO match seb_max', 
count(case when prod.seb_max is null and exp.seb_max is not null then 1 end) as 'prod null exp Not null seb_max', 
count(case when prod.seb_max is not null and exp.seb_max is null then 1 end) as 'prod NOT null exp null seb_max',
count(case when prod.shc_min = exp.shc_min or ( prod.shc_min is null and exp.shc_min is null) then 1 end) as 'match shc_min', 
count(case when prod.shc_min &lt;&gt; exp.shc_min then 1 end) as 'NO match shc_min', 
count(case when prod.shc_min is null and exp.shc_min is not null then 1 end) as 'prod null exp Not null shc_min', 
count(case when prod.shc_min is not null and exp.shc_min is null then 1 end) as 'prod NOT null exp null shc_min',
count(case when prod.xm_max = exp.xm_max or ( prod.xm_max is null and exp.xm_max is null) then 1 end) as 'match xm_max', 
count(case when prod.xm_max &lt;&gt; exp.xm_max then 1 end) as 'NO match xm_max', 
count(case when prod.xm_max is null and exp.xm_max is not null then 1 end) as 'prod null exp Not null xm_max', 
count(case when prod.xm_max is not null and exp.xm_max is null then 1 end) as 'prod NOT null exp null xm_max',
count(case when prod.e1a03sp_min = exp.e1a03sp_min or ( prod.e1a03sp_min is null and exp.e1a03sp_min is null) then 1 end) as 'match e1a03sp_min', 
count(case when prod.e1a03sp_min &lt;&gt; exp.e1a03sp_min then 1 end) as 'NO match e1a03sp_min', 
count(case when prod.e1a03sp_min is null and exp.e1a03sp_min is not null then 1 end) as 'prod null exp Not null e1a03sp_min', 
count(case when prod.e1a03sp_min is not null and exp.e1a03sp_min is null then 1 end) as 'prod NOT null exp null e1a03sp_min',
count(case when prod.e1a06sp_min = exp.e1a06sp_min or ( prod.e1a06sp_min is null and exp.e1a06sp_min is null) then 1 end) as 'match e1a06sp_min', 
count(case when prod.e1a06sp_min &lt;&gt; exp.e1a06sp_min then 1 end) as 'NO match e1a06sp_min', 
count(case when prod.e1a06sp_min is null and exp.e1a06sp_min is not null then 1 end) as 'prod null exp Not null e1a06sp_min', 
count(case when prod.e1a06sp_min is not null and exp.e1a06sp_min is null then 1 end) as 'prod NOT null exp null e1a06sp_min',
count(case when prod.e1a09sp_max = exp.e1a09sp_max or ( prod.e1a09sp_max is null and exp.e1a09sp_max is null) then 1 end) as 'match e1a09sp_max', 
count(case when prod.e1a09sp_max &lt;&gt; exp.e1a09sp_max then 1 end) as 'NO match e1a09sp_max', 
count(case when prod.e1a09sp_max is null and exp.e1a09sp_max is not null then 1 end) as 'prod null exp Not null e1a09sp_max', 
count(case when prod.e1a09sp_max is not null and exp.e1a09sp_max is null then 1 end) as 'prod NOT null exp null e1a09sp_max',
count(case when prod.e1b07sp_max = exp.e1b07sp_max or ( prod.e1b07sp_max is null and exp.e1b07sp_max is null) then 1 end) as 'match e1b07sp_max', 
count(case when prod.e1b07sp_max &lt;&gt; exp.e1b07sp_max then 1 end) as 'NO match e1b07sp_max', 
count(case when prod.e1b07sp_max is null and exp.e1b07sp_max is not null then 1 end) as 'prod null exp Not null e1b07sp_max', 
count(case when prod.e1b07sp_max is not null and exp.e1b07sp_max is null then 1 end) as 'prod NOT null exp null e1b07sp_max',
count(case when prod.e1b10sp_min = exp.e1b10sp_min or ( prod.e1b10sp_min is null and exp.e1b10sp_min is null) then 1 end) as 'match e1b10sp_min', 
count(case when prod.e1b10sp_min &lt;&gt; exp.e1b10sp_min then 1 end) as 'NO match e1b10sp_min', 
count(case when prod.e1b10sp_min is null and exp.e1b10sp_min is not null then 1 end) as 'prod null exp Not null e1b10sp_min', 
count(case when prod.e1b10sp_min is not null and exp.e1b10sp_min is null then 1 end) as 'prod NOT null exp null e1b10sp_min',
count(case when prod.e1b13sp_max = exp.e1b13sp_max or ( prod.e1b13sp_max is null and exp.e1b13sp_max is null) then 1 end) as 'match e1b13sp_max', 
count(case when prod.e1b13sp_max &lt;&gt; exp.e1b13sp_max then 1 end) as 'NO match e1b13sp_max', 
count(case when prod.e1b13sp_max is null and exp.e1b13sp_max is not null then 1 end) as 'prod null exp Not null e1b13sp_max', 
count(case when prod.e1b13sp_max is not null and exp.e1b13sp_max is null then 1 end) as 'prod NOT null exp null e1b13sp_max',
count(case when prod.e1e02sp_max = exp.e1e02sp_max or ( prod.e1e02sp_max is null and exp.e1e02sp_max is null) then 1 end) as 'match e1e02sp_max', 
count(case when prod.e1e02sp_max &lt;&gt; exp.e1e02sp_max then 1 end) as 'NO match e1e02sp_max', 
count(case when prod.e1e02sp_max is null and exp.e1e02sp_max is not null then 1 end) as 'prod null exp Not null e1e02sp_max', 
count(case when prod.e1e02sp_max is not null and exp.e1e02sp_max is null then 1 end) as 'prod NOT null exp null e1e02sp_max',
count(case when prod.e2g11spa_max = exp.e2g11spa_max or ( prod.e2g11spa_max is null and exp.e2g11spa_max is null) then 1 end) as 'match e2g11spa_max', 
count(case when prod.e2g11spa_max &lt;&gt; exp.e2g11spa_max then 1 end) as 'NO match e2g11spa_max', 
count(case when prod.e2g11spa_max is null and exp.e2g11spa_max is not null then 1 end) as 'prod null exp Not null e2g11spa_max', 
count(case when prod.e2g11spa_max is not null and exp.e2g11spa_max is null then 1 end) as 'prod NOT null exp null e2g11spa_max',
count(case when prod.ea1d01sp_max = exp.ea1d01sp_max or ( prod.ea1d01sp_max is null and exp.ea1d01sp_max is null) then 1 end) as 'match ea1d01sp_max', 
count(case when prod.ea1d01sp_max &lt;&gt; exp.ea1d01sp_max then 1 end) as 'NO match ea1d01sp_max', 
count(case when prod.ea1d01sp_max is null and exp.ea1d01sp_max is not null then 1 end) as 'prod null exp Not null ea1d01sp_max', 
count(case when prod.ea1d01sp_max is not null and exp.ea1d01sp_max is null then 1 end) as 'prod NOT null exp null ea1d01sp_max',
count(case when prod.ea1e02sp_max = exp.ea1e02sp_max or ( prod.ea1e02sp_max is null and exp.ea1e02sp_max is null) then 1 end) as 'match ea1e02sp_max', 
count(case when prod.ea1e02sp_max &lt;&gt; exp.ea1e02sp_max then 1 end) as 'NO match ea1e02sp_max', 
count(case when prod.ea1e02sp_max is null and exp.ea1e02sp_max is not null then 1 end) as 'prod null exp Not null ea1e02sp_max', 
count(case when prod.ea1e02sp_max is not null and exp.ea1e02sp_max is null then 1 end) as 'prod NOT null exp null ea1e02sp_max',
count(case when prod.ndecc02sp_max = exp.ndecc02sp_max or ( prod.ndecc02sp_max is null and exp.ndecc02sp_max is null) then 1 end) as 'match ndecc02sp_max', 
count(case when prod.ndecc02sp_max &lt;&gt; exp.ndecc02sp_max then 1 end) as 'NO match ndecc02sp_max', 
count(case when prod.ndecc02sp_max is null and exp.ndecc02sp_max is not null then 1 end) as 'prod null exp Not null ndecc02sp_max', 
count(case when prod.ndecc02sp_max is not null and exp.ndecc02sp_max is null then 1 end) as 'prod NOT null exp null ndecc02sp_max',
count(case when prod.ndecc07sp_min = exp.ndecc07sp_min or ( prod.ndecc07sp_min is null and exp.ndecc07sp_min is null) then 1 end) as 'match ndecc07sp_min', 
count(case when prod.ndecc07sp_min &lt;&gt; exp.ndecc07sp_min then 1 end) as 'NO match ndecc07sp_min', 
count(case when prod.ndecc07sp_min is null and exp.ndecc07sp_min is not null then 1 end) as 'prod null exp Not null ndecc07sp_min', 
count(case when prod.ndecc07sp_min is not null and exp.ndecc07sp_min is null then 1 end) as 'prod NOT null exp null ndecc07sp_min',
count(case when prod.ndhac09sp_max = exp.ndhac09sp_max or ( prod.ndhac09sp_max is null and exp.ndhac09sp_max is null) then 1 end) as 'match ndhac09sp_max', 
count(case when prod.ndhac09sp_max &lt;&gt; exp.ndhac09sp_max then 1 end) as 'NO match ndhac09sp_max', 
count(case when prod.ndhac09sp_max is null and exp.ndhac09sp_max is not null then 1 end) as 'prod null exp Not null ndhac09sp_max', 
count(case when prod.ndhac09sp_max is not null and exp.ndhac09sp_max is null then 1 end) as 'prod NOT null exp null ndhac09sp_max',
count(case when prod.avg_num_days_exc_l3m_max = exp.avg_num_days_exc_l3m_max or ( prod.avg_num_days_exc_l3m_max is null and exp.avg_num_days_exc_l3m_max is null) then 1 end) as 'match avg_num_days_exc_l3m_max', 
count(case when prod.avg_num_days_exc_l3m_max &lt;&gt; exp.avg_num_days_exc_l3m_max then 1 end) as 'NO match avg_num_days_exc_l3m_max', 
count(case when prod.avg_num_days_exc_l3m_max is null and exp.avg_num_days_exc_l3m_max is not null then 1 end) as 'prod null exp Not null avg_num_days_exc_l3m_max', 
count(case when prod.avg_num_days_exc_l3m_max is not null and exp.avg_num_days_exc_l3m_max is null then 1 end) as 'prod NOT null exp null avg_num_days_exc_l3m_max',
count(case when prod.min_max_bal_l12m_max = exp.min_max_bal_l12m_max or ( prod.min_max_bal_l12m_max is null and exp.min_max_bal_l12m_max is null) then 1 end) as 'match min_max_bal_l12m_max', 
count(case when prod.min_max_bal_l12m_max &lt;&gt; exp.min_max_bal_l12m_max then 1 end) as 'NO match min_max_bal_l12m_max', 
count(case when prod.min_max_bal_l12m_max is null and exp.min_max_bal_l12m_max is not null then 1 end) as 'prod null exp Not null min_max_bal_l12m_max', 
count(case when prod.min_max_bal_l12m_max is not null and exp.min_max_bal_l12m_max is null then 1 end) as 'prod NOT null exp null min_max_bal_l12m_max',
count(case when prod.ratio_bal_cto_max = exp.ratio_bal_cto_max or ( prod.ratio_bal_cto_max is null and exp.ratio_bal_cto_max is null) then 1 end) as 'match ratio_bal_cto_max', 
count(case when prod.ratio_bal_cto_max &lt;&gt; exp.ratio_bal_cto_max then 1 end) as 'NO match ratio_bal_cto_max', 
count(case when prod.ratio_bal_cto_max is null and exp.ratio_bal_cto_max is not null then 1 end) as 'prod null exp Not null ratio_bal_cto_max', 
count(case when prod.ratio_bal_cto_max is not null and exp.ratio_bal_cto_max is null then 1 end) as 'prod NOT null exp null ratio_bal_cto_max',
count(case when prod.avg_netpay_nonbt_l6m_max = exp.avg_netpay_nonbt_l6m_max or ( prod.avg_netpay_nonbt_l6m_max is null and exp.avg_netpay_nonbt_l6m_max is null) then 1 end) as 'match avg_netpay_nonbt_l6m_max', 
count(case when prod.avg_netpay_nonbt_l6m_max &lt;&gt; exp.avg_netpay_nonbt_l6m_max then 1 end) as 'NO match avg_netpay_nonbt_l6m_max', 
count(case when prod.avg_netpay_nonbt_l6m_max is null and exp.avg_netpay_nonbt_l6m_max is not null then 1 end) as 'prod null exp Not null avg_netpay_nonbt_l6m_max', 
count(case when prod.avg_netpay_nonbt_l6m_max is not null and exp.avg_netpay_nonbt_l6m_max is null then 1 end) as 'prod NOT null exp null avg_netpay_nonbt_l6m_max',
count(case when prod.max_cshbal_util_l4m_min = exp.max_cshbal_util_l4m_min or ( prod.max_cshbal_util_l4m_min is null and exp.max_cshbal_util_l4m_min is null) then 1 end) as 'match max_cshbal_util_l4m_min', 
count(case when prod.max_cshbal_util_l4m_min &lt;&gt; exp.max_cshbal_util_l4m_min then 1 end) as 'NO match max_cshbal_util_l4m_min', 
count(case when prod.max_cshbal_util_l4m_min is null and exp.max_cshbal_util_l4m_min is not null then 1 end) as 'prod null exp Not null max_cshbal_util_l4m_min', 
count(case when prod.max_cshbal_util_l4m_min is not null and exp.max_cshbal_util_l4m_min is null then 1 end) as 'prod NOT null exp null max_cshbal_util_l4m_min',
count(case when prod.max_avg_savbal_l6m_max = exp.max_avg_savbal_l6m_max or ( prod.max_avg_savbal_l6m_max is null and exp.max_avg_savbal_l6m_max is null) then 1 end) as 'match max_avg_savbal_l6m_max', 
count(case when prod.max_avg_savbal_l6m_max &lt;&gt; exp.max_avg_savbal_l6m_max then 1 end) as 'NO match max_avg_savbal_l6m_max', 
count(case when prod.max_avg_savbal_l6m_max is null and exp.max_avg_savbal_l6m_max is not null then 1 end) as 'prod null exp Not null max_avg_savbal_l6m_max', 
count(case when prod.max_avg_savbal_l6m_max is not null and exp.max_avg_savbal_l6m_max is null then 1 end) as 'prod NOT null exp null max_avg_savbal_l6m_max',
count(case when prod.max_num_days_exc_l3m_max = exp.max_num_days_exc_l3m_max or ( prod.max_num_days_exc_l3m_max is null and exp.max_num_days_exc_l3m_max is null) then 1 end) as 'match max_num_days_exc_l3m_max', 
count(case when prod.max_num_days_exc_l3m_max &lt;&gt; exp.max_num_days_exc_l3m_max then 1 end) as 'NO match max_num_days_exc_l3m_max', 
count(case when prod.max_num_days_exc_l3m_max is null and exp.max_num_days_exc_l3m_max is not null then 1 end) as 'prod null exp Not null max_num_days_exc_l3m_max', 
count(case when prod.max_num_days_exc_l3m_max is not null and exp.max_num_days_exc_l3m_max is null then 1 end) as 'prod NOT null exp null max_num_days_exc_l3m_max',
count(case when prod.unpaid_bill_count_max = exp.unpaid_bill_count_max or ( prod.unpaid_bill_count_max is null and exp.unpaid_bill_count_max is null) then 1 end) as 'match unpaid_bill_count_max', 
count(case when prod.unpaid_bill_count_max &lt;&gt; exp.unpaid_bill_count_max then 1 end) as 'NO match unpaid_bill_count_max', 
count(case when prod.unpaid_bill_count_max is null and exp.unpaid_bill_count_max is not null then 1 end) as 'prod null exp Not null unpaid_bill_count_max', 
count(case when prod.unpaid_bill_count_max is not null and exp.unpaid_bill_count_max is null then 1 end) as 'prod NOT null exp null unpaid_bill_count_max',
count(case when prod.billed_bal_min = exp.billed_bal_min or ( prod.billed_bal_min is null and exp.billed_bal_min is null) then 1 end) as 'match billed_bal_min', 
count(case when prod.billed_bal_min &lt;&gt; exp.billed_bal_min then 1 end) as 'NO match billed_bal_min', 
count(case when prod.billed_bal_min is null and exp.billed_bal_min is not null then 1 end) as 'prod null exp Not null billed_bal_min', 
count(case when prod.billed_bal_min is not null and exp.billed_bal_min is null then 1 end) as 'prod NOT null exp null billed_bal_min',
count(case when prod.sw_min_max_bal_l12m_max = exp.sw_min_max_bal_l12m_max or ( prod.sw_min_max_bal_l12m_max is null and exp.sw_min_max_bal_l12m_max is null) then 1 end) as 'match sw_min_max_bal_l12m_max', 
count(case when prod.sw_min_max_bal_l12m_max &lt;&gt; exp.sw_min_max_bal_l12m_max then 1 end) as 'NO match sw_min_max_bal_l12m_max', 
count(case when prod.sw_min_max_bal_l12m_max is null and exp.sw_min_max_bal_l12m_max is not null then 1 end) as 'prod null exp Not null sw_min_max_bal_l12m_max', 
count(case when prod.sw_min_max_bal_l12m_max is not null and exp.sw_min_max_bal_l12m_max is null then 1 end) as 'prod NOT null exp null sw_min_max_bal_l12m_max',
count(case when prod.sw_avg_num_days_exc_l3m_max = exp.sw_avg_num_days_exc_l3m_max or ( prod.sw_avg_num_days_exc_l3m_max is null and exp.sw_avg_num_days_exc_l3m_max is null) then 1 end) as 'match sw_avg_num_days_exc_l3m_max', 
count(case when prod.sw_avg_num_days_exc_l3m_max &lt;&gt; exp.sw_avg_num_days_exc_l3m_max then 1 end) as 'NO match sw_avg_num_days_exc_l3m_max', 
count(case when prod.sw_avg_num_days_exc_l3m_max is null and exp.sw_avg_num_days_exc_l3m_max is not null then 1 end) as 'prod null exp Not null sw_avg_num_days_exc_l3m_max', 
count(case when prod.sw_avg_num_days_exc_l3m_max is not null and exp.sw_avg_num_days_exc_l3m_max is null then 1 end) as 'prod NOT null exp null sw_avg_num_days_exc_l3m_max',
count(case when prod.sw_ratio_bal_cto_max = exp.sw_ratio_bal_cto_max or ( prod.sw_ratio_bal_cto_max is null and exp.sw_ratio_bal_cto_max is null) then 1 end) as 'match sw_ratio_bal_cto_max', 
count(case when prod.sw_ratio_bal_cto_max &lt;&gt; exp.sw_ratio_bal_cto_max then 1 end) as 'NO match sw_ratio_bal_cto_max', 
count(case when prod.sw_ratio_bal_cto_max is null and exp.sw_ratio_bal_cto_max is not null then 1 end) as 'prod null exp Not null sw_ratio_bal_cto_max', 
count(case when prod.sw_ratio_bal_cto_max is not null and exp.sw_ratio_bal_cto_max is null then 1 end) as 'prod NOT null exp null sw_ratio_bal_cto_max',
count(case when prod.sw_single_joint_holder_ind = exp.sw_single_joint_holder_ind or ( prod.sw_single_joint_holder_ind is null and exp.sw_single_joint_holder_ind is null) then 1 end) as 'match sw_single_joint_holder_ind', 
count(case when prod.sw_single_joint_holder_ind &lt;&gt; exp.sw_single_joint_holder_ind then 1 end) as 'NO match sw_single_joint_holder_ind', 
count(case when prod.sw_single_joint_holder_ind is null and exp.sw_single_joint_holder_ind is not null then 1 end) as 'prod null exp Not null sw_single_joint_holder_ind', 
count(case when prod.sw_single_joint_holder_ind is not null and exp.sw_single_joint_holder_ind is null then 1 end) as 'prod NOT null exp null sw_single_joint_holder_ind',
count(case when prod.sw_cad_12m_count = exp.sw_cad_12m_count or ( prod.sw_cad_12m_count is null and exp.sw_cad_12m_count is null) then 1 end) as 'match sw_cad_12m_count', 
count(case when prod.sw_cad_12m_count &lt;&gt; exp.sw_cad_12m_count then 1 end) as 'NO match sw_cad_12m_count', 
count(case when prod.sw_cad_12m_count is null and exp.sw_cad_12m_count is not null then 1 end) as 'prod null exp Not null sw_cad_12m_count', 
count(case when prod.sw_cad_12m_count is not null and exp.sw_cad_12m_count is null then 1 end) as 'prod NOT null exp null sw_cad_12m_count',
count(case when prod.sw_e1b10sp_min = exp.sw_e1b10sp_min or ( prod.sw_e1b10sp_min is null and exp.sw_e1b10sp_min is null) then 1 end) as 'match sw_e1b10sp_min', 
count(case when prod.sw_e1b10sp_min &lt;&gt; exp.sw_e1b10sp_min then 1 end) as 'NO match sw_e1b10sp_min', 
count(case when prod.sw_e1b10sp_min is null and exp.sw_e1b10sp_min is not null then 1 end) as 'prod null exp Not null sw_e1b10sp_min', 
count(case when prod.sw_e1b10sp_min is not null and exp.sw_e1b10sp_min is null then 1 end) as 'prod NOT null exp null sw_e1b10sp_min',
count(case when prod.sw_e1e02sp_max = exp.sw_e1e02sp_max or ( prod.sw_e1e02sp_max is null and exp.sw_e1e02sp_max is null) then 1 end) as 'match sw_e1e02sp_max', 
count(case when prod.sw_e1e02sp_max &lt;&gt; exp.sw_e1e02sp_max then 1 end) as 'NO match sw_e1e02sp_max', 
count(case when prod.sw_e1e02sp_max is null and exp.sw_e1e02sp_max is not null then 1 end) as 'prod null exp Not null sw_e1e02sp_max', 
count(case when prod.sw_e1e02sp_max is not null and exp.sw_e1e02sp_max is null then 1 end) as 'prod NOT null exp null sw_e1e02sp_max',
count(case when prod.sw_ndecc02sp_max = exp.sw_ndecc02sp_max or ( prod.sw_ndecc02sp_max is null and exp.sw_ndecc02sp_max is null) then 1 end) as 'match sw_ndecc02sp_max', 
count(case when prod.sw_ndecc02sp_max &lt;&gt; exp.sw_ndecc02sp_max then 1 end) as 'NO match sw_ndecc02sp_max', 
count(case when prod.sw_ndecc02sp_max is null and exp.sw_ndecc02sp_max is not null then 1 end) as 'prod null exp Not null sw_ndecc02sp_max', 
count(case when prod.sw_ndecc02sp_max is not null and exp.sw_ndecc02sp_max is null then 1 end) as 'prod NOT null exp null sw_ndecc02sp_max',
count(case when prod.sw_ndecc07sp_min = exp.sw_ndecc07sp_min or ( prod.sw_ndecc07sp_min is null and exp.sw_ndecc07sp_min is null) then 1 end) as 'match sw_ndecc07sp_min', 
count(case when prod.sw_ndecc07sp_min &lt;&gt; exp.sw_ndecc07sp_min then 1 end) as 'NO match sw_ndecc07sp_min', 
count(case when prod.sw_ndecc07sp_min is null and exp.sw_ndecc07sp_min is not null then 1 end) as 'prod null exp Not null sw_ndecc07sp_min', 
count(case when prod.sw_ndecc07sp_min is not null and exp.sw_ndecc07sp_min is null then 1 end) as 'prod NOT null exp null sw_ndecc07sp_min',
count(case when prod.sw_gg_max = exp.sw_gg_max or ( prod.sw_gg_max is null and exp.sw_gg_max is null) then 1 end) as 'match sw_gg_max', 
count(case when prod.sw_gg_max &lt;&gt; exp.sw_gg_max then 1 end) as 'NO match sw_gg_max', 
count(case when prod.sw_gg_max is null and exp.sw_gg_max is not null then 1 end) as 'prod null exp Not null sw_gg_max', 
count(case when prod.sw_gg_max is not null and exp.sw_gg_max is null then 1 end) as 'prod NOT null exp null sw_gg_max',
count(case when prod.sw_hn_min = exp.sw_hn_min or ( prod.sw_hn_min is null and exp.sw_hn_min is null) then 1 end) as 'match sw_hn_min', 
count(case when prod.sw_hn_min &lt;&gt; exp.sw_hn_min then 1 end) as 'NO match sw_hn_min', 
count(case when prod.sw_hn_min is null and exp.sw_hn_min is not null then 1 end) as 'prod null exp Not null sw_hn_min', 
count(case when prod.sw_hn_min is not null and exp.sw_hn_min is null then 1 end) as 'prod NOT null exp null sw_hn_min',
count(case when prod.sw_seb_max = exp.sw_seb_max or ( prod.sw_seb_max is null and exp.sw_seb_max is null) then 1 end) as 'match sw_seb_max', 
count(case when prod.sw_seb_max &lt;&gt; exp.sw_seb_max then 1 end) as 'NO match sw_seb_max', 
count(case when prod.sw_seb_max is null and exp.sw_seb_max is not null then 1 end) as 'prod null exp Not null sw_seb_max', 
count(case when prod.sw_seb_max is not null and exp.sw_seb_max is null then 1 end) as 'prod NOT null exp null sw_seb_max',
count(case when prod.sw_mhc_max = exp.sw_mhc_max or ( prod.sw_mhc_max is null and exp.sw_mhc_max is null) then 1 end) as 'match sw_mhc_max', 
count(case when prod.sw_mhc_max &lt;&gt; exp.sw_mhc_max then 1 end) as 'NO match sw_mhc_max', 
count(case when prod.sw_mhc_max is null and exp.sw_mhc_max is not null then 1 end) as 'prod null exp Not null sw_mhc_max', 
count(case when prod.sw_mhc_max is not null and exp.sw_mhc_max is null then 1 end) as 'prod NOT null exp null sw_mhc_max',
count(case when prod.sw_shc_min = exp.sw_shc_min or ( prod.sw_shc_min is null and exp.sw_shc_min is null) then 1 end) as 'match sw_shc_min', 
count(case when prod.sw_shc_min &lt;&gt; exp.sw_shc_min then 1 end) as 'NO match sw_shc_min', 
count(case when prod.sw_shc_min is null and exp.sw_shc_min is not null then 1 end) as 'prod null exp Not null sw_shc_min', 
count(case when prod.sw_shc_min is not null and exp.sw_shc_min is null then 1 end) as 'prod NOT null exp null sw_shc_min',
count(case when prod.sw_max_avg_savbal_l6m_max = exp.sw_max_avg_savbal_l6m_max or ( prod.sw_max_avg_savbal_l6m_max is null and exp.sw_max_avg_savbal_l6m_max is null) then 1 end) as 'match sw_max_avg_savbal_l6m_max', 
count(case when prod.sw_max_avg_savbal_l6m_max &lt;&gt; exp.sw_max_avg_savbal_l6m_max then 1 end) as 'NO match sw_max_avg_savbal_l6m_max', 
count(case when prod.sw_max_avg_savbal_l6m_max is null and exp.sw_max_avg_savbal_l6m_max is not null then 1 end) as 'prod null exp Not null sw_max_avg_savbal_l6m_max', 
count(case when prod.sw_max_avg_savbal_l6m_max is not null and exp.sw_max_avg_savbal_l6m_max is null then 1 end) as 'prod NOT null exp null sw_max_avg_savbal_l6m_max',
count(case when prod.sw_max_cshbal_util_l4m_min = exp.sw_max_cshbal_util_l4m_min or ( prod.sw_max_cshbal_util_l4m_min is null and exp.sw_max_cshbal_util_l4m_min is null) then 1 end) as 'match sw_max_cshbal_util_l4m_min', 
count(case when prod.sw_max_cshbal_util_l4m_min &lt;&gt; exp.sw_max_cshbal_util_l4m_min then 1 end) as 'NO match sw_max_cshbal_util_l4m_min', 
count(case when prod.sw_max_cshbal_util_l4m_min is null and exp.sw_max_cshbal_util_l4m_min is not null then 1 end) as 'prod null exp Not null sw_max_cshbal_util_l4m_min', 
count(case when prod.sw_max_cshbal_util_l4m_min is not null and exp.sw_max_cshbal_util_l4m_min is null then 1 end) as 'prod NOT null exp null sw_max_cshbal_util_l4m_min',
count(case when prod.sw_avg_netpay_nonbt_l6m_max = exp.sw_avg_netpay_nonbt_l6m_max or ( prod.sw_avg_netpay_nonbt_l6m_max is null and exp.sw_avg_netpay_nonbt_l6m_max is null) then 1 end) as 'match sw_avg_netpay_nonbt_l6m_max', 
count(case when prod.sw_avg_netpay_nonbt_l6m_max &lt;&gt; exp.sw_avg_netpay_nonbt_l6m_max then 1 end) as 'NO match sw_avg_netpay_nonbt_l6m_max', 
count(case when prod.sw_avg_netpay_nonbt_l6m_max is null and exp.sw_avg_netpay_nonbt_l6m_max is not null then 1 end) as 'prod null exp Not null sw_avg_netpay_nonbt_l6m_max', 
count(case when prod.sw_avg_netpay_nonbt_l6m_max is not null and exp.sw_avg_netpay_nonbt_l6m_max is null then 1 end) as 'prod NOT null exp null sw_avg_netpay_nonbt_l6m_max',
count(case when prod.sw_mnths_remaining_term = exp.sw_mnths_remaining_term or ( prod.sw_mnths_remaining_term is null and exp.sw_mnths_remaining_ter</t>
  </si>
  <si>
    <t>match contract_source_system</t>
  </si>
  <si>
    <t>no match contract_source_system</t>
  </si>
  <si>
    <t>prod null exp not null contract_source_system</t>
  </si>
  <si>
    <t>prod not null exp null contract_source_system</t>
  </si>
  <si>
    <t>match cntr_contract_id</t>
  </si>
  <si>
    <t>no match cntr_contract_id</t>
  </si>
  <si>
    <t>prod null exp not null cntr_contract_id</t>
  </si>
  <si>
    <t>prod not null exp null cntr_contract_id</t>
  </si>
  <si>
    <t>match holding_reference</t>
  </si>
  <si>
    <t>no match holding_reference</t>
  </si>
  <si>
    <t>prod null exp not null holding_reference</t>
  </si>
  <si>
    <t>prod not null exp null holding_reference</t>
  </si>
  <si>
    <t>match arrears_balance_amt</t>
  </si>
  <si>
    <t>no match arrears_balance_amt</t>
  </si>
  <si>
    <t>prod null exp not null arrears_balance_amt</t>
  </si>
  <si>
    <t>prod not null exp null arrears_balance_amt</t>
  </si>
  <si>
    <t>match cad_12m_count</t>
  </si>
  <si>
    <t>no match cad_12m_count</t>
  </si>
  <si>
    <t>prod null exp not null cad_12m_count</t>
  </si>
  <si>
    <t>prod not null exp null cad_12m_count</t>
  </si>
  <si>
    <t>match cai_1m_flag</t>
  </si>
  <si>
    <t>no match cai_1m_flag</t>
  </si>
  <si>
    <t>prod null exp not null cai_1m_flag</t>
  </si>
  <si>
    <t>prod not null exp null cai_1m_flag</t>
  </si>
  <si>
    <t>match cust_age_max</t>
  </si>
  <si>
    <t>no match cust_age_max</t>
  </si>
  <si>
    <t>prod null exp not null cust_age_max</t>
  </si>
  <si>
    <t>prod not null exp null cust_age_max</t>
  </si>
  <si>
    <t>match loan_term</t>
  </si>
  <si>
    <t>no match loan_term</t>
  </si>
  <si>
    <t>prod null exp not null loan_term</t>
  </si>
  <si>
    <t>prod not null exp null loan_term</t>
  </si>
  <si>
    <t>match mnths_remaining_term</t>
  </si>
  <si>
    <t>no match mnths_remaining_term</t>
  </si>
  <si>
    <t>prod null exp not null mnths_remaining_term</t>
  </si>
  <si>
    <t>prod not null exp null mnths_remaining_term</t>
  </si>
  <si>
    <t>match original_loan_amt</t>
  </si>
  <si>
    <t>no match original_loan_amt</t>
  </si>
  <si>
    <t>prod null exp not null original_loan_amt</t>
  </si>
  <si>
    <t>prod not null exp null original_loan_amt</t>
  </si>
  <si>
    <t>match period_end_balance_amt</t>
  </si>
  <si>
    <t>no match period_end_balance_amt</t>
  </si>
  <si>
    <t>prod null exp not null period_end_balance_amt</t>
  </si>
  <si>
    <t>prod not null exp null period_end_balance_amt</t>
  </si>
  <si>
    <t>match pra_daily_dpd_upg</t>
  </si>
  <si>
    <t>no match pra_daily_dpd_upg</t>
  </si>
  <si>
    <t>prod null exp not null pra_daily_dpd_upg</t>
  </si>
  <si>
    <t>prod not null exp null pra_daily_dpd_upg</t>
  </si>
  <si>
    <t>match pra_mia</t>
  </si>
  <si>
    <t>no match pra_mia</t>
  </si>
  <si>
    <t>prod null exp not null pra_mia</t>
  </si>
  <si>
    <t>prod not null exp null pra_mia</t>
  </si>
  <si>
    <t>match single_joint_holder_ind</t>
  </si>
  <si>
    <t>no match single_joint_holder_ind</t>
  </si>
  <si>
    <t>prod null exp not null single_joint_holder_ind</t>
  </si>
  <si>
    <t>prod not null exp null single_joint_holder_ind</t>
  </si>
  <si>
    <t>match gg_max</t>
  </si>
  <si>
    <t>no match gg_max</t>
  </si>
  <si>
    <t>prod null exp not null gg_max</t>
  </si>
  <si>
    <t>prod not null exp null gg_max</t>
  </si>
  <si>
    <t>match hn_min</t>
  </si>
  <si>
    <t>no match hn_min</t>
  </si>
  <si>
    <t>prod null exp not null hn_min</t>
  </si>
  <si>
    <t>prod not null exp null hn_min</t>
  </si>
  <si>
    <t>match mhc_max</t>
  </si>
  <si>
    <t>no match mhc_max</t>
  </si>
  <si>
    <t>prod null exp not null mhc_max</t>
  </si>
  <si>
    <t>prod not null exp null mhc_max</t>
  </si>
  <si>
    <t>match seb_max</t>
  </si>
  <si>
    <t>no match seb_max</t>
  </si>
  <si>
    <t>prod null exp not null seb_max</t>
  </si>
  <si>
    <t>prod not null exp null seb_max</t>
  </si>
  <si>
    <t>match shc_min</t>
  </si>
  <si>
    <t>no match shc_min</t>
  </si>
  <si>
    <t>prod null exp not null shc_min</t>
  </si>
  <si>
    <t>prod not null exp null shc_min</t>
  </si>
  <si>
    <t>match xm_max</t>
  </si>
  <si>
    <t>no match xm_max</t>
  </si>
  <si>
    <t>prod null exp not null xm_max</t>
  </si>
  <si>
    <t>prod not null exp null xm_max</t>
  </si>
  <si>
    <t>match e1a03sp_min</t>
  </si>
  <si>
    <t>no match e1a03sp_min</t>
  </si>
  <si>
    <t>prod null exp not null e1a03sp_min</t>
  </si>
  <si>
    <t>prod not null exp null e1a03sp_min</t>
  </si>
  <si>
    <t>match e1a06sp_min</t>
  </si>
  <si>
    <t>no match e1a06sp_min</t>
  </si>
  <si>
    <t>prod null exp not null e1a06sp_min</t>
  </si>
  <si>
    <t>prod not null exp null e1a06sp_min</t>
  </si>
  <si>
    <t>match e1a09sp_max</t>
  </si>
  <si>
    <t>no match e1a09sp_max</t>
  </si>
  <si>
    <t>prod null exp not null e1a09sp_max</t>
  </si>
  <si>
    <t>prod not null exp null e1a09sp_max</t>
  </si>
  <si>
    <t>match e1b07sp_max</t>
  </si>
  <si>
    <t>no match e1b07sp_max</t>
  </si>
  <si>
    <t>prod null exp not null e1b07sp_max</t>
  </si>
  <si>
    <t>prod not null exp null e1b07sp_max</t>
  </si>
  <si>
    <t>match e1b10sp_min</t>
  </si>
  <si>
    <t>no match e1b10sp_min</t>
  </si>
  <si>
    <t>prod null exp not null e1b10sp_min</t>
  </si>
  <si>
    <t>prod not null exp null e1b10sp_min</t>
  </si>
  <si>
    <t>match e1b13sp_max</t>
  </si>
  <si>
    <t>no match e1b13sp_max</t>
  </si>
  <si>
    <t>prod null exp not null e1b13sp_max</t>
  </si>
  <si>
    <t>prod not null exp null e1b13sp_max</t>
  </si>
  <si>
    <t>match e1e02sp_max</t>
  </si>
  <si>
    <t>no match e1e02sp_max</t>
  </si>
  <si>
    <t>prod null exp not null e1e02sp_max</t>
  </si>
  <si>
    <t>prod not null exp null e1e02sp_max</t>
  </si>
  <si>
    <t>match e2g11spa_max</t>
  </si>
  <si>
    <t>no match e2g11spa_max</t>
  </si>
  <si>
    <t>prod null exp not null e2g11spa_max</t>
  </si>
  <si>
    <t>prod not null exp null e2g11spa_max</t>
  </si>
  <si>
    <t>match ea1d01sp_max</t>
  </si>
  <si>
    <t>no match ea1d01sp_max</t>
  </si>
  <si>
    <t>prod null exp not null ea1d01sp_max</t>
  </si>
  <si>
    <t>prod not null exp null ea1d01sp_max</t>
  </si>
  <si>
    <t>match ea1e02sp_max</t>
  </si>
  <si>
    <t>no match ea1e02sp_max</t>
  </si>
  <si>
    <t>prod null exp not null ea1e02sp_max</t>
  </si>
  <si>
    <t>prod not null exp null ea1e02sp_max</t>
  </si>
  <si>
    <t>match ndecc02sp_max</t>
  </si>
  <si>
    <t>no match ndecc02sp_max</t>
  </si>
  <si>
    <t>prod null exp not null ndecc02sp_max</t>
  </si>
  <si>
    <t>prod not null exp null ndecc02sp_max</t>
  </si>
  <si>
    <t>match ndecc07sp_min</t>
  </si>
  <si>
    <t>no match ndecc07sp_min</t>
  </si>
  <si>
    <t>prod null exp not null ndecc07sp_min</t>
  </si>
  <si>
    <t>prod not null exp null ndecc07sp_min</t>
  </si>
  <si>
    <t>match ndhac09sp_max</t>
  </si>
  <si>
    <t>no match ndhac09sp_max</t>
  </si>
  <si>
    <t>prod null exp not null ndhac09sp_max</t>
  </si>
  <si>
    <t>prod not null exp null ndhac09sp_max</t>
  </si>
  <si>
    <t>match avg_num_days_exc_l3m_max</t>
  </si>
  <si>
    <t>no match avg_num_days_exc_l3m_max</t>
  </si>
  <si>
    <t>prod null exp not null avg_num_days_exc_l3m_max</t>
  </si>
  <si>
    <t>prod not null exp null avg_num_days_exc_l3m_max</t>
  </si>
  <si>
    <t>match min_max_bal_l12m_max</t>
  </si>
  <si>
    <t>no match min_max_bal_l12m_max</t>
  </si>
  <si>
    <t>prod null exp not null min_max_bal_l12m_max</t>
  </si>
  <si>
    <t>prod not null exp null min_max_bal_l12m_max</t>
  </si>
  <si>
    <t>match ratio_bal_cto_max</t>
  </si>
  <si>
    <t>no match ratio_bal_cto_max</t>
  </si>
  <si>
    <t>prod null exp not null ratio_bal_cto_max</t>
  </si>
  <si>
    <t>prod not null exp null ratio_bal_cto_max</t>
  </si>
  <si>
    <t>match avg_netpay_nonbt_l6m_max</t>
  </si>
  <si>
    <t>no match avg_netpay_nonbt_l6m_max</t>
  </si>
  <si>
    <t>prod null exp not null avg_netpay_nonbt_l6m_max</t>
  </si>
  <si>
    <t>prod not null exp null avg_netpay_nonbt_l6m_max</t>
  </si>
  <si>
    <t>match max_cshbal_util_l4m_min</t>
  </si>
  <si>
    <t>no match max_cshbal_util_l4m_min</t>
  </si>
  <si>
    <t>prod null exp not null max_cshbal_util_l4m_min</t>
  </si>
  <si>
    <t>prod not null exp null max_cshbal_util_l4m_min</t>
  </si>
  <si>
    <t>match max_avg_savbal_l6m_max</t>
  </si>
  <si>
    <t>no match max_avg_savbal_l6m_max</t>
  </si>
  <si>
    <t>prod null exp not null max_avg_savbal_l6m_max</t>
  </si>
  <si>
    <t>prod not null exp null max_avg_savbal_l6m_max</t>
  </si>
  <si>
    <t>match max_num_days_exc_l3m_max</t>
  </si>
  <si>
    <t>no match max_num_days_exc_l3m_max</t>
  </si>
  <si>
    <t>prod null exp not null max_num_days_exc_l3m_max</t>
  </si>
  <si>
    <t>prod not null exp null max_num_days_exc_l3m_max</t>
  </si>
  <si>
    <t>match unpaid_bill_count_max</t>
  </si>
  <si>
    <t>no match unpaid_bill_count_max</t>
  </si>
  <si>
    <t>prod null exp not null unpaid_bill_count_max</t>
  </si>
  <si>
    <t>prod not null exp null unpaid_bill_count_max</t>
  </si>
  <si>
    <t>match billed_bal_min</t>
  </si>
  <si>
    <t>no match billed_bal_min</t>
  </si>
  <si>
    <t>prod null exp not null billed_bal_min</t>
  </si>
  <si>
    <t>prod not null exp null billed_bal_min</t>
  </si>
  <si>
    <t>match sw_min_max_bal_l12m_max</t>
  </si>
  <si>
    <t>no match sw_min_max_bal_l12m_max</t>
  </si>
  <si>
    <t>prod null exp not null sw_min_max_bal_l12m_max</t>
  </si>
  <si>
    <t>prod not null exp null sw_min_max_bal_l12m_max</t>
  </si>
  <si>
    <t>match sw_avg_num_days_exc_l3m_max</t>
  </si>
  <si>
    <t>no match sw_avg_num_days_exc_l3m_max</t>
  </si>
  <si>
    <t>prod null exp not null sw_avg_num_days_exc_l3m_max</t>
  </si>
  <si>
    <t>prod not null exp null sw_avg_num_days_exc_l3m_max</t>
  </si>
  <si>
    <t>match sw_ratio_bal_cto_max</t>
  </si>
  <si>
    <t>no match sw_ratio_bal_cto_max</t>
  </si>
  <si>
    <t>prod null exp not null sw_ratio_bal_cto_max</t>
  </si>
  <si>
    <t>prod not null exp null sw_ratio_bal_cto_max</t>
  </si>
  <si>
    <t>match sw_single_joint_holder_ind</t>
  </si>
  <si>
    <t>no match sw_single_joint_holder_ind</t>
  </si>
  <si>
    <t>prod null exp not null sw_single_joint_holder_ind</t>
  </si>
  <si>
    <t>prod not null exp null sw_single_joint_holder_ind</t>
  </si>
  <si>
    <t>match sw_cad_12m_count</t>
  </si>
  <si>
    <t>no match sw_cad_12m_count</t>
  </si>
  <si>
    <t>prod null exp not null sw_cad_12m_count</t>
  </si>
  <si>
    <t>prod not null exp null sw_cad_12m_count</t>
  </si>
  <si>
    <t>match sw_e1b10sp_min</t>
  </si>
  <si>
    <t>no match sw_e1b10sp_min</t>
  </si>
  <si>
    <t>prod null exp not null sw_e1b10sp_min</t>
  </si>
  <si>
    <t>prod not null exp null sw_e1b10sp_min</t>
  </si>
  <si>
    <t>match sw_e1e02sp_max</t>
  </si>
  <si>
    <t>no match sw_e1e02sp_max</t>
  </si>
  <si>
    <t>prod null exp not null sw_e1e02sp_max</t>
  </si>
  <si>
    <t>prod not null exp null sw_e1e02sp_max</t>
  </si>
  <si>
    <t>match sw_ndecc02sp_max</t>
  </si>
  <si>
    <t>no match sw_ndecc02sp_max</t>
  </si>
  <si>
    <t>prod null exp not null sw_ndecc02sp_max</t>
  </si>
  <si>
    <t>prod not null exp null sw_ndecc02sp_max</t>
  </si>
  <si>
    <t>match sw_ndecc07sp_min</t>
  </si>
  <si>
    <t>no match sw_ndecc07sp_min</t>
  </si>
  <si>
    <t>prod null exp not null sw_ndecc07sp_min</t>
  </si>
  <si>
    <t>prod not null exp null sw_ndecc07sp_min</t>
  </si>
  <si>
    <t>match sw_gg_max</t>
  </si>
  <si>
    <t>no match sw_gg_max</t>
  </si>
  <si>
    <t>prod null exp not null sw_gg_max</t>
  </si>
  <si>
    <t>prod not null exp null sw_gg_max</t>
  </si>
  <si>
    <t>match sw_hn_min</t>
  </si>
  <si>
    <t>no match sw_hn_min</t>
  </si>
  <si>
    <t>prod null exp not null sw_hn_min</t>
  </si>
  <si>
    <t>prod not null exp null sw_hn_min</t>
  </si>
  <si>
    <t>match sw_seb_max</t>
  </si>
  <si>
    <t>no match sw_seb_max</t>
  </si>
  <si>
    <t>prod null exp not null sw_seb_max</t>
  </si>
  <si>
    <t>prod not null exp null sw_seb_max</t>
  </si>
  <si>
    <t>match sw_mhc_max</t>
  </si>
  <si>
    <t>no match sw_mhc_max</t>
  </si>
  <si>
    <t>prod null exp not null sw_mhc_max</t>
  </si>
  <si>
    <t>prod not null exp null sw_mhc_max</t>
  </si>
  <si>
    <t>match sw_shc_min</t>
  </si>
  <si>
    <t>no match sw_shc_min</t>
  </si>
  <si>
    <t>prod null exp not null sw_shc_min</t>
  </si>
  <si>
    <t>prod not null exp null sw_shc_min</t>
  </si>
  <si>
    <t>match sw_max_avg_savbal_l6m_max</t>
  </si>
  <si>
    <t>no match sw_max_avg_savbal_l6m_max</t>
  </si>
  <si>
    <t>prod null exp not null sw_max_avg_savbal_l6m_max</t>
  </si>
  <si>
    <t>prod not null exp null sw_max_avg_savbal_l6m_max</t>
  </si>
  <si>
    <t>match sw_max_cshbal_util_l4m_min</t>
  </si>
  <si>
    <t>no match sw_max_cshbal_util_l4m_min</t>
  </si>
  <si>
    <t>prod null exp not null sw_max_cshbal_util_l4m_min</t>
  </si>
  <si>
    <t>prod not null exp null sw_max_cshbal_util_l4m_min</t>
  </si>
  <si>
    <t>match sw_avg_netpay_nonbt_l6m_max</t>
  </si>
  <si>
    <t>no match sw_avg_netpay_nonbt_l6m_max</t>
  </si>
  <si>
    <t>prod null exp not null sw_avg_netpay_nonbt_l6m_max</t>
  </si>
  <si>
    <t>prod not null exp null sw_avg_netpay_nonbt_l6m_max</t>
  </si>
  <si>
    <t>match sw_mnths_remaining_term</t>
  </si>
  <si>
    <t>no match sw_mnths_remaining_term</t>
  </si>
  <si>
    <t>prod null exp not null sw_mnths_remaining_term</t>
  </si>
  <si>
    <t>prod not null exp null sw_mnths_remaining_term</t>
  </si>
  <si>
    <t>match sw_loan_term_amount_group</t>
  </si>
  <si>
    <t>no match sw_loan_term_amount_group</t>
  </si>
  <si>
    <t>prod null exp not null sw_loan_term_amount_group</t>
  </si>
  <si>
    <t>prod not null exp null sw_loan_term_amount_group</t>
  </si>
  <si>
    <t>match uw_max_num_days_exc_l3m_max</t>
  </si>
  <si>
    <t>no match uw_max_num_days_exc_l3m_max</t>
  </si>
  <si>
    <t>prod null exp not null uw_max_num_days_exc_l3m_max</t>
  </si>
  <si>
    <t>prod not null exp null uw_max_num_days_exc_l3m_max</t>
  </si>
  <si>
    <t>match uw_ratio_bal_cto_max</t>
  </si>
  <si>
    <t>no match uw_ratio_bal_cto_max</t>
  </si>
  <si>
    <t>prod null exp not null uw_ratio_bal_cto_max</t>
  </si>
  <si>
    <t>prod not null exp null uw_ratio_bal_cto_max</t>
  </si>
  <si>
    <t>match uw_cust_age_max</t>
  </si>
  <si>
    <t>no match uw_cust_age_max</t>
  </si>
  <si>
    <t>prod null exp not null uw_cust_age_max</t>
  </si>
  <si>
    <t>prod not null exp null uw_cust_age_max</t>
  </si>
  <si>
    <t>match uw_cai_1m_flag</t>
  </si>
  <si>
    <t>no match uw_cai_1m_flag</t>
  </si>
  <si>
    <t>prod null exp not null uw_cai_1m_flag</t>
  </si>
  <si>
    <t>prod not null exp null uw_cai_1m_flag</t>
  </si>
  <si>
    <t>match uw_pra_daily_dpd_upg</t>
  </si>
  <si>
    <t>no match uw_pra_daily_dpd_upg</t>
  </si>
  <si>
    <t>prod null exp not null uw_pra_daily_dpd_upg</t>
  </si>
  <si>
    <t>prod not null exp null uw_pra_daily_dpd_upg</t>
  </si>
  <si>
    <t>match uw_e1a06sp_min</t>
  </si>
  <si>
    <t>no match uw_e1a06sp_min</t>
  </si>
  <si>
    <t>prod null exp not null uw_e1a06sp_min</t>
  </si>
  <si>
    <t>prod not null exp null uw_e1a06sp_min</t>
  </si>
  <si>
    <t>match uw_e1a09sp_max</t>
  </si>
  <si>
    <t>no match uw_e1a09sp_max</t>
  </si>
  <si>
    <t>prod null exp not null uw_e1a09sp_max</t>
  </si>
  <si>
    <t>prod not null exp null uw_e1a09sp_max</t>
  </si>
  <si>
    <t>match uw_e1b10sp_min</t>
  </si>
  <si>
    <t>no match uw_e1b10sp_min</t>
  </si>
  <si>
    <t>prod null exp not null uw_e1b10sp_min</t>
  </si>
  <si>
    <t>prod not null exp null uw_e1b10sp_min</t>
  </si>
  <si>
    <t>match uw_e1b13sp_max</t>
  </si>
  <si>
    <t>no match uw_e1b13sp_max</t>
  </si>
  <si>
    <t>prod null exp not null uw_e1b13sp_max</t>
  </si>
  <si>
    <t>prod not null exp null uw_e1b13sp_max</t>
  </si>
  <si>
    <t>match uw_e2g11spa_max</t>
  </si>
  <si>
    <t>no match uw_e2g11spa_max</t>
  </si>
  <si>
    <t>prod null exp not null uw_e2g11spa_max</t>
  </si>
  <si>
    <t>prod not null exp null uw_e2g11spa_max</t>
  </si>
  <si>
    <t>match uw_ea1d01sp_max</t>
  </si>
  <si>
    <t>no match uw_ea1d01sp_max</t>
  </si>
  <si>
    <t>prod null exp not null uw_ea1d01sp_max</t>
  </si>
  <si>
    <t>prod not null exp null uw_ea1d01sp_max</t>
  </si>
  <si>
    <t>match uw_ea1e02sp_max</t>
  </si>
  <si>
    <t>no match uw_ea1e02sp_max</t>
  </si>
  <si>
    <t>prod null exp not null uw_ea1e02sp_max</t>
  </si>
  <si>
    <t>prod not null exp null uw_ea1e02sp_max</t>
  </si>
  <si>
    <t>match uw_ndhac09sp_max</t>
  </si>
  <si>
    <t>no match uw_ndhac09sp_max</t>
  </si>
  <si>
    <t>prod null exp not null uw_ndhac09sp_max</t>
  </si>
  <si>
    <t>prod not null exp null uw_ndhac09sp_max</t>
  </si>
  <si>
    <t>match uw_shc_min</t>
  </si>
  <si>
    <t>no match uw_shc_min</t>
  </si>
  <si>
    <t>prod null exp not null uw_shc_min</t>
  </si>
  <si>
    <t>prod not null exp null uw_shc_min</t>
  </si>
  <si>
    <t>match uw_xm_max</t>
  </si>
  <si>
    <t>no match uw_xm_max</t>
  </si>
  <si>
    <t>prod null exp not null uw_xm_max</t>
  </si>
  <si>
    <t>prod not null exp null uw_xm_max</t>
  </si>
  <si>
    <t>match uw_max_avg_savbal_l6m_max</t>
  </si>
  <si>
    <t>no match uw_max_avg_savbal_l6m_max</t>
  </si>
  <si>
    <t>prod null exp not null uw_max_avg_savbal_l6m_max</t>
  </si>
  <si>
    <t>prod not null exp null uw_max_avg_savbal_l6m_max</t>
  </si>
  <si>
    <t>match uw_billed_bal_min</t>
  </si>
  <si>
    <t>no match uw_billed_bal_min</t>
  </si>
  <si>
    <t>prod null exp not null uw_billed_bal_min</t>
  </si>
  <si>
    <t>prod not null exp null uw_billed_bal_min</t>
  </si>
  <si>
    <t>match uw_unpaid_bill_count_max</t>
  </si>
  <si>
    <t>no match uw_unpaid_bill_count_max</t>
  </si>
  <si>
    <t>prod null exp not null uw_unpaid_bill_count_max</t>
  </si>
  <si>
    <t>prod not null exp null uw_unpaid_bill_count_max</t>
  </si>
  <si>
    <t>match segment</t>
  </si>
  <si>
    <t>no match segment</t>
  </si>
  <si>
    <t>prod null exp not null segment</t>
  </si>
  <si>
    <t>prod not null exp null segment</t>
  </si>
  <si>
    <t>match bh_score</t>
  </si>
  <si>
    <t>no match bh_score</t>
  </si>
  <si>
    <t>prod null exp not null bh_score</t>
  </si>
  <si>
    <t>prod not null exp null bh_score</t>
  </si>
  <si>
    <t>match audt_process_status</t>
  </si>
  <si>
    <t>no match audt_process_status</t>
  </si>
  <si>
    <t>prod null exp not null audt_process_status</t>
  </si>
  <si>
    <t>prod not null exp null audt_process_status</t>
  </si>
  <si>
    <t>match audt_process_timestamp</t>
  </si>
  <si>
    <t>no match audt_process_timestamp</t>
  </si>
  <si>
    <t>prod null exp not null audt_process_timestamp</t>
  </si>
  <si>
    <t>prod not null exp null audt_process_timestamp</t>
  </si>
  <si>
    <t>match software_version</t>
  </si>
  <si>
    <t>no match software_version</t>
  </si>
  <si>
    <t>prod null exp not null software_version</t>
  </si>
  <si>
    <t>prod not null exp null software_version</t>
  </si>
  <si>
    <t>match term_amount_group</t>
  </si>
  <si>
    <t>no match term_amount_group</t>
  </si>
  <si>
    <t>prod null exp not null term_amount_group</t>
  </si>
  <si>
    <t>prod not null exp null term_amount_group</t>
  </si>
  <si>
    <t>audt_process_timestamp</t>
  </si>
  <si>
    <t>audt_execution_version</t>
  </si>
  <si>
    <t>2024-10-05 03:38:38.123</t>
  </si>
  <si>
    <t>2025-03-10 13:22:41.872</t>
  </si>
  <si>
    <t>Reg check between ECB and PRA</t>
  </si>
  <si>
    <t>2025-03-10 13:52:56.349</t>
  </si>
  <si>
    <t>select count(*),exp.date_processed,</t>
  </si>
  <si>
    <t xml:space="preserve">count(case when prod.contract_source_system = exp.contract_source_system or ( prod.contract_source_system is null and exp.contract_source_system is null) then 1 end) as 'match contract_source_system', </t>
  </si>
  <si>
    <t xml:space="preserve">count(case when prod.contract_source_system &lt;&gt; exp.contract_source_system then 1 end) as 'NO match contract_source_system', </t>
  </si>
  <si>
    <t xml:space="preserve">count(case when prod.contract_source_system is null and exp.contract_source_system is not null then 1 end) as 'prod null exp Not null contract_source_system', </t>
  </si>
  <si>
    <t>count(case when prod.contract_source_system is not null and exp.contract_source_system is null then 1 end) as 'prod NOT null exp null contract_source_system',</t>
  </si>
  <si>
    <t xml:space="preserve">count(case when prod.cntr_contract_id = exp.cntr_contract_id or ( prod.cntr_contract_id is null and exp.cntr_contract_id is null) then 1 end) as 'match cntr_contract_id', </t>
  </si>
  <si>
    <t xml:space="preserve">count(case when prod.cntr_contract_id &lt;&gt; exp.cntr_contract_id then 1 end) as 'NO match cntr_contract_id', </t>
  </si>
  <si>
    <t xml:space="preserve">count(case when prod.cntr_contract_id is null and exp.cntr_contract_id is not null then 1 end) as 'prod null exp Not null cntr_contract_id', </t>
  </si>
  <si>
    <t>count(case when prod.cntr_contract_id is not null and exp.cntr_contract_id is null then 1 end) as 'prod NOT null exp null cntr_contract_id',</t>
  </si>
  <si>
    <t xml:space="preserve">count(case when prod.holding_reference = exp.holding_reference or ( prod.holding_reference is null and exp.holding_reference is null) then 1 end) as 'match holding_reference', </t>
  </si>
  <si>
    <t xml:space="preserve">count(case when prod.holding_reference &lt;&gt; exp.holding_reference then 1 end) as 'NO match holding_reference', </t>
  </si>
  <si>
    <t xml:space="preserve">count(case when prod.holding_reference is null and exp.holding_reference is not null then 1 end) as 'prod null exp Not null holding_reference', </t>
  </si>
  <si>
    <t>count(case when prod.holding_reference is not null and exp.holding_reference is null then 1 end) as 'prod NOT null exp null holding_reference',</t>
  </si>
  <si>
    <t xml:space="preserve">count(case when prod.arrears_balance_amt = exp.arrears_balance_amt or ( prod.arrears_balance_amt is null and exp.arrears_balance_amt is null) then 1 end) as 'match arrears_balance_amt', </t>
  </si>
  <si>
    <t xml:space="preserve">count(case when prod.arrears_balance_amt &lt;&gt; exp.arrears_balance_amt then 1 end) as 'NO match arrears_balance_amt', </t>
  </si>
  <si>
    <t xml:space="preserve">count(case when prod.arrears_balance_amt is null and exp.arrears_balance_amt is not null then 1 end) as 'prod null exp Not null arrears_balance_amt', </t>
  </si>
  <si>
    <t>count(case when prod.arrears_balance_amt is not null and exp.arrears_balance_amt is null then 1 end) as 'prod NOT null exp null arrears_balance_amt',</t>
  </si>
  <si>
    <t xml:space="preserve">count(case when prod.cad_12m_count = exp.cad_12m_count or ( prod.cad_12m_count is null and exp.cad_12m_count is null) then 1 end) as 'match cad_12m_count', </t>
  </si>
  <si>
    <t xml:space="preserve">count(case when prod.cad_12m_count &lt;&gt; exp.cad_12m_count then 1 end) as 'NO match cad_12m_count', </t>
  </si>
  <si>
    <t xml:space="preserve">count(case when prod.cad_12m_count is null and exp.cad_12m_count is not null then 1 end) as 'prod null exp Not null cad_12m_count', </t>
  </si>
  <si>
    <t>count(case when prod.cad_12m_count is not null and exp.cad_12m_count is null then 1 end) as 'prod NOT null exp null cad_12m_count',</t>
  </si>
  <si>
    <t xml:space="preserve">count(case when prod.cai_1m_flag = exp.cai_1m_flag or ( prod.cai_1m_flag is null and exp.cai_1m_flag is null) then 1 end) as 'match cai_1m_flag', </t>
  </si>
  <si>
    <t xml:space="preserve">count(case when prod.cai_1m_flag &lt;&gt; exp.cai_1m_flag then 1 end) as 'NO match cai_1m_flag', </t>
  </si>
  <si>
    <t xml:space="preserve">count(case when prod.cai_1m_flag is null and exp.cai_1m_flag is not null then 1 end) as 'prod null exp Not null cai_1m_flag', </t>
  </si>
  <si>
    <t>count(case when prod.cai_1m_flag is not null and exp.cai_1m_flag is null then 1 end) as 'prod NOT null exp null cai_1m_flag',</t>
  </si>
  <si>
    <t xml:space="preserve">count(case when prod.cust_age_max = exp.cust_age_max or ( prod.cust_age_max is null and exp.cust_age_max is null) then 1 end) as 'match cust_age_max', </t>
  </si>
  <si>
    <t xml:space="preserve">count(case when prod.cust_age_max &lt;&gt; exp.cust_age_max then 1 end) as 'NO match cust_age_max', </t>
  </si>
  <si>
    <t xml:space="preserve">count(case when prod.cust_age_max is null and exp.cust_age_max is not null then 1 end) as 'prod null exp Not null cust_age_max', </t>
  </si>
  <si>
    <t>count(case when prod.cust_age_max is not null and exp.cust_age_max is null then 1 end) as 'prod NOT null exp null cust_age_max',</t>
  </si>
  <si>
    <t xml:space="preserve">count(case when prod.loan_term = exp.loan_term or ( prod.loan_term is null and exp.loan_term is null) then 1 end) as 'match loan_term', </t>
  </si>
  <si>
    <t xml:space="preserve">count(case when prod.loan_term &lt;&gt; exp.loan_term then 1 end) as 'NO match loan_term', </t>
  </si>
  <si>
    <t xml:space="preserve">count(case when prod.loan_term is null and exp.loan_term is not null then 1 end) as 'prod null exp Not null loan_term', </t>
  </si>
  <si>
    <t>count(case when prod.loan_term is not null and exp.loan_term is null then 1 end) as 'prod NOT null exp null loan_term',</t>
  </si>
  <si>
    <t xml:space="preserve">count(case when prod.mnths_remaining_term = exp.mnths_remaining_term or ( prod.mnths_remaining_term is null and exp.mnths_remaining_term is null) then 1 end) as 'match mnths_remaining_term', </t>
  </si>
  <si>
    <t xml:space="preserve">count(case when prod.mnths_remaining_term &lt;&gt; exp.mnths_remaining_term then 1 end) as 'NO match mnths_remaining_term', </t>
  </si>
  <si>
    <t xml:space="preserve">count(case when prod.mnths_remaining_term is null and exp.mnths_remaining_term is not null then 1 end) as 'prod null exp Not null mnths_remaining_term', </t>
  </si>
  <si>
    <t>count(case when prod.mnths_remaining_term is not null and exp.mnths_remaining_term is null then 1 end) as 'prod NOT null exp null mnths_remaining_term',</t>
  </si>
  <si>
    <t xml:space="preserve">count(case when prod.original_loan_amt = exp.original_loan_amt or ( prod.original_loan_amt is null and exp.original_loan_amt is null) then 1 end) as 'match original_loan_amt', </t>
  </si>
  <si>
    <t xml:space="preserve">count(case when prod.original_loan_amt &lt;&gt; exp.original_loan_amt then 1 end) as 'NO match original_loan_amt', </t>
  </si>
  <si>
    <t xml:space="preserve">count(case when prod.original_loan_amt is null and exp.original_loan_amt is not null then 1 end) as 'prod null exp Not null original_loan_amt', </t>
  </si>
  <si>
    <t>count(case when prod.original_loan_amt is not null and exp.original_loan_amt is null then 1 end) as 'prod NOT null exp null original_loan_amt',</t>
  </si>
  <si>
    <t xml:space="preserve">count(case when prod.period_end_balance_amt = exp.period_end_balance_amt or ( prod.period_end_balance_amt is null and exp.period_end_balance_amt is null) then 1 end) as 'match period_end_balance_amt', </t>
  </si>
  <si>
    <t xml:space="preserve">count(case when prod.period_end_balance_amt &lt;&gt; exp.period_end_balance_amt then 1 end) as 'NO match period_end_balance_amt', </t>
  </si>
  <si>
    <t xml:space="preserve">count(case when prod.period_end_balance_amt is null and exp.period_end_balance_amt is not null then 1 end) as 'prod null exp Not null period_end_balance_amt', </t>
  </si>
  <si>
    <t>count(case when prod.period_end_balance_amt is not null and exp.period_end_balance_amt is null then 1 end) as 'prod NOT null exp null period_end_balance_amt',</t>
  </si>
  <si>
    <t xml:space="preserve">count(case when prod.pra_daily_dpd_upg = exp.pra_daily_dpd_upg or ( prod.pra_daily_dpd_upg is null and exp.pra_daily_dpd_upg is null) then 1 end) as 'match pra_daily_dpd_upg', </t>
  </si>
  <si>
    <t xml:space="preserve">count(case when prod.pra_daily_dpd_upg &lt;&gt; exp.pra_daily_dpd_upg then 1 end) as 'NO match pra_daily_dpd_upg', </t>
  </si>
  <si>
    <t xml:space="preserve">count(case when prod.pra_daily_dpd_upg is null and exp.pra_daily_dpd_upg is not null then 1 end) as 'prod null exp Not null pra_daily_dpd_upg', </t>
  </si>
  <si>
    <t>count(case when prod.pra_daily_dpd_upg is not null and exp.pra_daily_dpd_upg is null then 1 end) as 'prod NOT null exp null pra_daily_dpd_upg',</t>
  </si>
  <si>
    <t xml:space="preserve">count(case when prod.pra_mia = exp.pra_mia or ( prod.pra_mia is null and exp.pra_mia is null) then 1 end) as 'match pra_mia', </t>
  </si>
  <si>
    <t xml:space="preserve">count(case when prod.pra_mia &lt;&gt; exp.pra_mia then 1 end) as 'NO match pra_mia', </t>
  </si>
  <si>
    <t xml:space="preserve">count(case when prod.pra_mia is null and exp.pra_mia is not null then 1 end) as 'prod null exp Not null pra_mia', </t>
  </si>
  <si>
    <t>count(case when prod.pra_mia is not null and exp.pra_mia is null then 1 end) as 'prod NOT null exp null pra_mia',</t>
  </si>
  <si>
    <t xml:space="preserve">count(case when prod.single_joint_holder_ind = exp.single_joint_holder_ind or ( prod.single_joint_holder_ind is null and exp.single_joint_holder_ind is null) then 1 end) as 'match single_joint_holder_ind', </t>
  </si>
  <si>
    <t xml:space="preserve">count(case when prod.single_joint_holder_ind &lt;&gt; exp.single_joint_holder_ind then 1 end) as 'NO match single_joint_holder_ind', </t>
  </si>
  <si>
    <t xml:space="preserve">count(case when prod.single_joint_holder_ind is null and exp.single_joint_holder_ind is not null then 1 end) as 'prod null exp Not null single_joint_holder_ind', </t>
  </si>
  <si>
    <t>count(case when prod.single_joint_holder_ind is not null and exp.single_joint_holder_ind is null then 1 end) as 'prod NOT null exp null single_joint_holder_ind',</t>
  </si>
  <si>
    <t xml:space="preserve">count(case when prod.gg_max = exp.gg_max or ( prod.gg_max is null and exp.gg_max is null) then 1 end) as 'match gg_max', </t>
  </si>
  <si>
    <t xml:space="preserve">count(case when prod.gg_max &lt;&gt; exp.gg_max then 1 end) as 'NO match gg_max', </t>
  </si>
  <si>
    <t xml:space="preserve">count(case when prod.gg_max is null and exp.gg_max is not null then 1 end) as 'prod null exp Not null gg_max', </t>
  </si>
  <si>
    <t>count(case when prod.gg_max is not null and exp.gg_max is null then 1 end) as 'prod NOT null exp null gg_max',</t>
  </si>
  <si>
    <t xml:space="preserve">count(case when prod.hn_min = exp.hn_min or ( prod.hn_min is null and exp.hn_min is null) then 1 end) as 'match hn_min', </t>
  </si>
  <si>
    <t xml:space="preserve">count(case when prod.hn_min &lt;&gt; exp.hn_min then 1 end) as 'NO match hn_min', </t>
  </si>
  <si>
    <t xml:space="preserve">count(case when prod.hn_min is null and exp.hn_min is not null then 1 end) as 'prod null exp Not null hn_min', </t>
  </si>
  <si>
    <t>count(case when prod.hn_min is not null and exp.hn_min is null then 1 end) as 'prod NOT null exp null hn_min',</t>
  </si>
  <si>
    <t xml:space="preserve">count(case when prod.mhc_max = exp.mhc_max or ( prod.mhc_max is null and exp.mhc_max is null) then 1 end) as 'match mhc_max', </t>
  </si>
  <si>
    <t xml:space="preserve">count(case when prod.mhc_max &lt;&gt; exp.mhc_max then 1 end) as 'NO match mhc_max', </t>
  </si>
  <si>
    <t xml:space="preserve">count(case when prod.mhc_max is null and exp.mhc_max is not null then 1 end) as 'prod null exp Not null mhc_max', </t>
  </si>
  <si>
    <t>count(case when prod.mhc_max is not null and exp.mhc_max is null then 1 end) as 'prod NOT null exp null mhc_max',</t>
  </si>
  <si>
    <t xml:space="preserve">count(case when prod.seb_max = exp.seb_max or ( prod.seb_max is null and exp.seb_max is null) then 1 end) as 'match seb_max', </t>
  </si>
  <si>
    <t xml:space="preserve">count(case when prod.seb_max &lt;&gt; exp.seb_max then 1 end) as 'NO match seb_max', </t>
  </si>
  <si>
    <t xml:space="preserve">count(case when prod.seb_max is null and exp.seb_max is not null then 1 end) as 'prod null exp Not null seb_max', </t>
  </si>
  <si>
    <t>count(case when prod.seb_max is not null and exp.seb_max is null then 1 end) as 'prod NOT null exp null seb_max',</t>
  </si>
  <si>
    <t xml:space="preserve">count(case when prod.shc_min = exp.shc_min or ( prod.shc_min is null and exp.shc_min is null) then 1 end) as 'match shc_min', </t>
  </si>
  <si>
    <t xml:space="preserve">count(case when prod.shc_min &lt;&gt; exp.shc_min then 1 end) as 'NO match shc_min', </t>
  </si>
  <si>
    <t xml:space="preserve">count(case when prod.shc_min is null and exp.shc_min is not null then 1 end) as 'prod null exp Not null shc_min', </t>
  </si>
  <si>
    <t>count(case when prod.shc_min is not null and exp.shc_min is null then 1 end) as 'prod NOT null exp null shc_min',</t>
  </si>
  <si>
    <t xml:space="preserve">count(case when prod.xm_max = exp.xm_max or ( prod.xm_max is null and exp.xm_max is null) then 1 end) as 'match xm_max', </t>
  </si>
  <si>
    <t xml:space="preserve">count(case when prod.xm_max &lt;&gt; exp.xm_max then 1 end) as 'NO match xm_max', </t>
  </si>
  <si>
    <t xml:space="preserve">count(case when prod.xm_max is null and exp.xm_max is not null then 1 end) as 'prod null exp Not null xm_max', </t>
  </si>
  <si>
    <t>count(case when prod.xm_max is not null and exp.xm_max is null then 1 end) as 'prod NOT null exp null xm_max',</t>
  </si>
  <si>
    <t xml:space="preserve">count(case when prod.e1a03sp_min = exp.e1a03sp_min or ( prod.e1a03sp_min is null and exp.e1a03sp_min is null) then 1 end) as 'match e1a03sp_min', </t>
  </si>
  <si>
    <t xml:space="preserve">count(case when prod.e1a03sp_min &lt;&gt; exp.e1a03sp_min then 1 end) as 'NO match e1a03sp_min', </t>
  </si>
  <si>
    <t xml:space="preserve">count(case when prod.e1a03sp_min is null and exp.e1a03sp_min is not null then 1 end) as 'prod null exp Not null e1a03sp_min', </t>
  </si>
  <si>
    <t>count(case when prod.e1a03sp_min is not null and exp.e1a03sp_min is null then 1 end) as 'prod NOT null exp null e1a03sp_min',</t>
  </si>
  <si>
    <t xml:space="preserve">count(case when prod.e1a06sp_min = exp.e1a06sp_min or ( prod.e1a06sp_min is null and exp.e1a06sp_min is null) then 1 end) as 'match e1a06sp_min', </t>
  </si>
  <si>
    <t xml:space="preserve">count(case when prod.e1a06sp_min &lt;&gt; exp.e1a06sp_min then 1 end) as 'NO match e1a06sp_min', </t>
  </si>
  <si>
    <t xml:space="preserve">count(case when prod.e1a06sp_min is null and exp.e1a06sp_min is not null then 1 end) as 'prod null exp Not null e1a06sp_min', </t>
  </si>
  <si>
    <t>count(case when prod.e1a06sp_min is not null and exp.e1a06sp_min is null then 1 end) as 'prod NOT null exp null e1a06sp_min',</t>
  </si>
  <si>
    <t xml:space="preserve">count(case when prod.e1a09sp_max = exp.e1a09sp_max or ( prod.e1a09sp_max is null and exp.e1a09sp_max is null) then 1 end) as 'match e1a09sp_max', </t>
  </si>
  <si>
    <t xml:space="preserve">count(case when prod.e1a09sp_max &lt;&gt; exp.e1a09sp_max then 1 end) as 'NO match e1a09sp_max', </t>
  </si>
  <si>
    <t xml:space="preserve">count(case when prod.e1a09sp_max is null and exp.e1a09sp_max is not null then 1 end) as 'prod null exp Not null e1a09sp_max', </t>
  </si>
  <si>
    <t>count(case when prod.e1a09sp_max is not null and exp.e1a09sp_max is null then 1 end) as 'prod NOT null exp null e1a09sp_max',</t>
  </si>
  <si>
    <t xml:space="preserve">count(case when prod.e1b07sp_max = exp.e1b07sp_max or ( prod.e1b07sp_max is null and exp.e1b07sp_max is null) then 1 end) as 'match e1b07sp_max', </t>
  </si>
  <si>
    <t xml:space="preserve">count(case when prod.e1b07sp_max &lt;&gt; exp.e1b07sp_max then 1 end) as 'NO match e1b07sp_max', </t>
  </si>
  <si>
    <t xml:space="preserve">count(case when prod.e1b07sp_max is null and exp.e1b07sp_max is not null then 1 end) as 'prod null exp Not null e1b07sp_max', </t>
  </si>
  <si>
    <t>count(case when prod.e1b07sp_max is not null and exp.e1b07sp_max is null then 1 end) as 'prod NOT null exp null e1b07sp_max',</t>
  </si>
  <si>
    <t xml:space="preserve">count(case when prod.e1b10sp_min = exp.e1b10sp_min or ( prod.e1b10sp_min is null and exp.e1b10sp_min is null) then 1 end) as 'match e1b10sp_min', </t>
  </si>
  <si>
    <t xml:space="preserve">count(case when prod.e1b10sp_min &lt;&gt; exp.e1b10sp_min then 1 end) as 'NO match e1b10sp_min', </t>
  </si>
  <si>
    <t xml:space="preserve">count(case when prod.e1b10sp_min is null and exp.e1b10sp_min is not null then 1 end) as 'prod null exp Not null e1b10sp_min', </t>
  </si>
  <si>
    <t>count(case when prod.e1b10sp_min is not null and exp.e1b10sp_min is null then 1 end) as 'prod NOT null exp null e1b10sp_min',</t>
  </si>
  <si>
    <t xml:space="preserve">count(case when prod.e1b13sp_max = exp.e1b13sp_max or ( prod.e1b13sp_max is null and exp.e1b13sp_max is null) then 1 end) as 'match e1b13sp_max', </t>
  </si>
  <si>
    <t xml:space="preserve">count(case when prod.e1b13sp_max &lt;&gt; exp.e1b13sp_max then 1 end) as 'NO match e1b13sp_max', </t>
  </si>
  <si>
    <t xml:space="preserve">count(case when prod.e1b13sp_max is null and exp.e1b13sp_max is not null then 1 end) as 'prod null exp Not null e1b13sp_max', </t>
  </si>
  <si>
    <t>count(case when prod.e1b13sp_max is not null and exp.e1b13sp_max is null then 1 end) as 'prod NOT null exp null e1b13sp_max',</t>
  </si>
  <si>
    <t xml:space="preserve">count(case when prod.e1e02sp_max = exp.e1e02sp_max or ( prod.e1e02sp_max is null and exp.e1e02sp_max is null) then 1 end) as 'match e1e02sp_max', </t>
  </si>
  <si>
    <t xml:space="preserve">count(case when prod.e1e02sp_max &lt;&gt; exp.e1e02sp_max then 1 end) as 'NO match e1e02sp_max', </t>
  </si>
  <si>
    <t xml:space="preserve">count(case when prod.e1e02sp_max is null and exp.e1e02sp_max is not null then 1 end) as 'prod null exp Not null e1e02sp_max', </t>
  </si>
  <si>
    <t>count(case when prod.e1e02sp_max is not null and exp.e1e02sp_max is null then 1 end) as 'prod NOT null exp null e1e02sp_max',</t>
  </si>
  <si>
    <t xml:space="preserve">count(case when prod.e2g11spa_max = exp.e2g11spa_max or ( prod.e2g11spa_max is null and exp.e2g11spa_max is null) then 1 end) as 'match e2g11spa_max', </t>
  </si>
  <si>
    <t xml:space="preserve">count(case when prod.e2g11spa_max &lt;&gt; exp.e2g11spa_max then 1 end) as 'NO match e2g11spa_max', </t>
  </si>
  <si>
    <t xml:space="preserve">count(case when prod.e2g11spa_max is null and exp.e2g11spa_max is not null then 1 end) as 'prod null exp Not null e2g11spa_max', </t>
  </si>
  <si>
    <t>count(case when prod.e2g11spa_max is not null and exp.e2g11spa_max is null then 1 end) as 'prod NOT null exp null e2g11spa_max',</t>
  </si>
  <si>
    <t xml:space="preserve">count(case when prod.ea1d01sp_max = exp.ea1d01sp_max or ( prod.ea1d01sp_max is null and exp.ea1d01sp_max is null) then 1 end) as 'match ea1d01sp_max', </t>
  </si>
  <si>
    <t xml:space="preserve">count(case when prod.ea1d01sp_max &lt;&gt; exp.ea1d01sp_max then 1 end) as 'NO match ea1d01sp_max', </t>
  </si>
  <si>
    <t xml:space="preserve">count(case when prod.ea1d01sp_max is null and exp.ea1d01sp_max is not null then 1 end) as 'prod null exp Not null ea1d01sp_max', </t>
  </si>
  <si>
    <t>count(case when prod.ea1d01sp_max is not null and exp.ea1d01sp_max is null then 1 end) as 'prod NOT null exp null ea1d01sp_max',</t>
  </si>
  <si>
    <t xml:space="preserve">count(case when prod.ea1e02sp_max = exp.ea1e02sp_max or ( prod.ea1e02sp_max is null and exp.ea1e02sp_max is null) then 1 end) as 'match ea1e02sp_max', </t>
  </si>
  <si>
    <t xml:space="preserve">count(case when prod.ea1e02sp_max &lt;&gt; exp.ea1e02sp_max then 1 end) as 'NO match ea1e02sp_max', </t>
  </si>
  <si>
    <t xml:space="preserve">count(case when prod.ea1e02sp_max is null and exp.ea1e02sp_max is not null then 1 end) as 'prod null exp Not null ea1e02sp_max', </t>
  </si>
  <si>
    <t>count(case when prod.ea1e02sp_max is not null and exp.ea1e02sp_max is null then 1 end) as 'prod NOT null exp null ea1e02sp_max',</t>
  </si>
  <si>
    <t xml:space="preserve">count(case when prod.ndecc02sp_max = exp.ndecc02sp_max or ( prod.ndecc02sp_max is null and exp.ndecc02sp_max is null) then 1 end) as 'match ndecc02sp_max', </t>
  </si>
  <si>
    <t xml:space="preserve">count(case when prod.ndecc02sp_max &lt;&gt; exp.ndecc02sp_max then 1 end) as 'NO match ndecc02sp_max', </t>
  </si>
  <si>
    <t xml:space="preserve">count(case when prod.ndecc02sp_max is null and exp.ndecc02sp_max is not null then 1 end) as 'prod null exp Not null ndecc02sp_max', </t>
  </si>
  <si>
    <t>count(case when prod.ndecc02sp_max is not null and exp.ndecc02sp_max is null then 1 end) as 'prod NOT null exp null ndecc02sp_max',</t>
  </si>
  <si>
    <t xml:space="preserve">count(case when prod.ndecc07sp_min = exp.ndecc07sp_min or ( prod.ndecc07sp_min is null and exp.ndecc07sp_min is null) then 1 end) as 'match ndecc07sp_min', </t>
  </si>
  <si>
    <t xml:space="preserve">count(case when prod.ndecc07sp_min &lt;&gt; exp.ndecc07sp_min then 1 end) as 'NO match ndecc07sp_min', </t>
  </si>
  <si>
    <t xml:space="preserve">count(case when prod.ndecc07sp_min is null and exp.ndecc07sp_min is not null then 1 end) as 'prod null exp Not null ndecc07sp_min', </t>
  </si>
  <si>
    <t>count(case when prod.ndecc07sp_min is not null and exp.ndecc07sp_min is null then 1 end) as 'prod NOT null exp null ndecc07sp_min',</t>
  </si>
  <si>
    <t xml:space="preserve">count(case when prod.ndhac09sp_max = exp.ndhac09sp_max or ( prod.ndhac09sp_max is null and exp.ndhac09sp_max is null) then 1 end) as 'match ndhac09sp_max', </t>
  </si>
  <si>
    <t xml:space="preserve">count(case when prod.ndhac09sp_max &lt;&gt; exp.ndhac09sp_max then 1 end) as 'NO match ndhac09sp_max', </t>
  </si>
  <si>
    <t xml:space="preserve">count(case when prod.ndhac09sp_max is null and exp.ndhac09sp_max is not null then 1 end) as 'prod null exp Not null ndhac09sp_max', </t>
  </si>
  <si>
    <t>count(case when prod.ndhac09sp_max is not null and exp.ndhac09sp_max is null then 1 end) as 'prod NOT null exp null ndhac09sp_max',</t>
  </si>
  <si>
    <t xml:space="preserve">count(case when prod.avg_num_days_exc_l3m_max = exp.avg_num_days_exc_l3m_max or ( prod.avg_num_days_exc_l3m_max is null and exp.avg_num_days_exc_l3m_max is null) then 1 end) as 'match avg_num_days_exc_l3m_max', </t>
  </si>
  <si>
    <t xml:space="preserve">count(case when prod.avg_num_days_exc_l3m_max &lt;&gt; exp.avg_num_days_exc_l3m_max then 1 end) as 'NO match avg_num_days_exc_l3m_max', </t>
  </si>
  <si>
    <t xml:space="preserve">count(case when prod.avg_num_days_exc_l3m_max is null and exp.avg_num_days_exc_l3m_max is not null then 1 end) as 'prod null exp Not null avg_num_days_exc_l3m_max', </t>
  </si>
  <si>
    <t>count(case when prod.avg_num_days_exc_l3m_max is not null and exp.avg_num_days_exc_l3m_max is null then 1 end) as 'prod NOT null exp null avg_num_days_exc_l3m_max',</t>
  </si>
  <si>
    <t xml:space="preserve">count(case when prod.min_max_bal_l12m_max = exp.min_max_bal_l12m_max or ( prod.min_max_bal_l12m_max is null and exp.min_max_bal_l12m_max is null) then 1 end) as 'match min_max_bal_l12m_max', </t>
  </si>
  <si>
    <t xml:space="preserve">count(case when prod.min_max_bal_l12m_max &lt;&gt; exp.min_max_bal_l12m_max then 1 end) as 'NO match min_max_bal_l12m_max', </t>
  </si>
  <si>
    <t xml:space="preserve">count(case when prod.min_max_bal_l12m_max is null and exp.min_max_bal_l12m_max is not null then 1 end) as 'prod null exp Not null min_max_bal_l12m_max', </t>
  </si>
  <si>
    <t>count(case when prod.min_max_bal_l12m_max is not null and exp.min_max_bal_l12m_max is null then 1 end) as 'prod NOT null exp null min_max_bal_l12m_max',</t>
  </si>
  <si>
    <t xml:space="preserve">count(case when prod.ratio_bal_cto_max = exp.ratio_bal_cto_max or ( prod.ratio_bal_cto_max is null and exp.ratio_bal_cto_max is null) then 1 end) as 'match ratio_bal_cto_max', </t>
  </si>
  <si>
    <t xml:space="preserve">count(case when prod.ratio_bal_cto_max &lt;&gt; exp.ratio_bal_cto_max then 1 end) as 'NO match ratio_bal_cto_max', </t>
  </si>
  <si>
    <t xml:space="preserve">count(case when prod.ratio_bal_cto_max is null and exp.ratio_bal_cto_max is not null then 1 end) as 'prod null exp Not null ratio_bal_cto_max', </t>
  </si>
  <si>
    <t>count(case when prod.ratio_bal_cto_max is not null and exp.ratio_bal_cto_max is null then 1 end) as 'prod NOT null exp null ratio_bal_cto_max',</t>
  </si>
  <si>
    <t xml:space="preserve">count(case when prod.avg_netpay_nonbt_l6m_max = exp.avg_netpay_nonbt_l6m_max or ( prod.avg_netpay_nonbt_l6m_max is null and exp.avg_netpay_nonbt_l6m_max is null) then 1 end) as 'match avg_netpay_nonbt_l6m_max', </t>
  </si>
  <si>
    <t xml:space="preserve">count(case when prod.avg_netpay_nonbt_l6m_max &lt;&gt; exp.avg_netpay_nonbt_l6m_max then 1 end) as 'NO match avg_netpay_nonbt_l6m_max', </t>
  </si>
  <si>
    <t xml:space="preserve">count(case when prod.avg_netpay_nonbt_l6m_max is null and exp.avg_netpay_nonbt_l6m_max is not null then 1 end) as 'prod null exp Not null avg_netpay_nonbt_l6m_max', </t>
  </si>
  <si>
    <t>count(case when prod.avg_netpay_nonbt_l6m_max is not null and exp.avg_netpay_nonbt_l6m_max is null then 1 end) as 'prod NOT null exp null avg_netpay_nonbt_l6m_max',</t>
  </si>
  <si>
    <t xml:space="preserve">count(case when prod.max_cshbal_util_l4m_min = exp.max_cshbal_util_l4m_min or ( prod.max_cshbal_util_l4m_min is null and exp.max_cshbal_util_l4m_min is null) then 1 end) as 'match max_cshbal_util_l4m_min', </t>
  </si>
  <si>
    <t xml:space="preserve">count(case when prod.max_cshbal_util_l4m_min &lt;&gt; exp.max_cshbal_util_l4m_min then 1 end) as 'NO match max_cshbal_util_l4m_min', </t>
  </si>
  <si>
    <t xml:space="preserve">count(case when prod.max_cshbal_util_l4m_min is null and exp.max_cshbal_util_l4m_min is not null then 1 end) as 'prod null exp Not null max_cshbal_util_l4m_min', </t>
  </si>
  <si>
    <t>count(case when prod.max_cshbal_util_l4m_min is not null and exp.max_cshbal_util_l4m_min is null then 1 end) as 'prod NOT null exp null max_cshbal_util_l4m_min',</t>
  </si>
  <si>
    <t xml:space="preserve">count(case when prod.max_avg_savbal_l6m_max = exp.max_avg_savbal_l6m_max or ( prod.max_avg_savbal_l6m_max is null and exp.max_avg_savbal_l6m_max is null) then 1 end) as 'match max_avg_savbal_l6m_max', </t>
  </si>
  <si>
    <t xml:space="preserve">count(case when prod.max_avg_savbal_l6m_max &lt;&gt; exp.max_avg_savbal_l6m_max then 1 end) as 'NO match max_avg_savbal_l6m_max', </t>
  </si>
  <si>
    <t xml:space="preserve">count(case when prod.max_avg_savbal_l6m_max is null and exp.max_avg_savbal_l6m_max is not null then 1 end) as 'prod null exp Not null max_avg_savbal_l6m_max', </t>
  </si>
  <si>
    <t>count(case when prod.max_avg_savbal_l6m_max is not null and exp.max_avg_savbal_l6m_max is null then 1 end) as 'prod NOT null exp null max_avg_savbal_l6m_max',</t>
  </si>
  <si>
    <t xml:space="preserve">count(case when prod.max_num_days_exc_l3m_max = exp.max_num_days_exc_l3m_max or ( prod.max_num_days_exc_l3m_max is null and exp.max_num_days_exc_l3m_max is null) then 1 end) as 'match max_num_days_exc_l3m_max', </t>
  </si>
  <si>
    <t xml:space="preserve">count(case when prod.max_num_days_exc_l3m_max &lt;&gt; exp.max_num_days_exc_l3m_max then 1 end) as 'NO match max_num_days_exc_l3m_max', </t>
  </si>
  <si>
    <t xml:space="preserve">count(case when prod.max_num_days_exc_l3m_max is null and exp.max_num_days_exc_l3m_max is not null then 1 end) as 'prod null exp Not null max_num_days_exc_l3m_max', </t>
  </si>
  <si>
    <t>count(case when prod.max_num_days_exc_l3m_max is not null and exp.max_num_days_exc_l3m_max is null then 1 end) as 'prod NOT null exp null max_num_days_exc_l3m_max',</t>
  </si>
  <si>
    <t xml:space="preserve">count(case when prod.unpaid_bill_count_max = exp.unpaid_bill_count_max or ( prod.unpaid_bill_count_max is null and exp.unpaid_bill_count_max is null) then 1 end) as 'match unpaid_bill_count_max', </t>
  </si>
  <si>
    <t xml:space="preserve">count(case when prod.unpaid_bill_count_max &lt;&gt; exp.unpaid_bill_count_max then 1 end) as 'NO match unpaid_bill_count_max', </t>
  </si>
  <si>
    <t xml:space="preserve">count(case when prod.unpaid_bill_count_max is null and exp.unpaid_bill_count_max is not null then 1 end) as 'prod null exp Not null unpaid_bill_count_max', </t>
  </si>
  <si>
    <t>count(case when prod.unpaid_bill_count_max is not null and exp.unpaid_bill_count_max is null then 1 end) as 'prod NOT null exp null unpaid_bill_count_max',</t>
  </si>
  <si>
    <t xml:space="preserve">count(case when prod.billed_bal_min = exp.billed_bal_min or ( prod.billed_bal_min is null and exp.billed_bal_min is null) then 1 end) as 'match billed_bal_min', </t>
  </si>
  <si>
    <t xml:space="preserve">count(case when prod.billed_bal_min &lt;&gt; exp.billed_bal_min then 1 end) as 'NO match billed_bal_min', </t>
  </si>
  <si>
    <t xml:space="preserve">count(case when prod.billed_bal_min is null and exp.billed_bal_min is not null then 1 end) as 'prod null exp Not null billed_bal_min', </t>
  </si>
  <si>
    <t>count(case when prod.billed_bal_min is not null and exp.billed_bal_min is null then 1 end) as 'prod NOT null exp null billed_bal_min',</t>
  </si>
  <si>
    <t xml:space="preserve">count(case when prod.sw_min_max_bal_l12m_max = exp.sw_min_max_bal_l12m_max or ( prod.sw_min_max_bal_l12m_max is null and exp.sw_min_max_bal_l12m_max is null) then 1 end) as 'match sw_min_max_bal_l12m_max', </t>
  </si>
  <si>
    <t xml:space="preserve">count(case when prod.sw_min_max_bal_l12m_max &lt;&gt; exp.sw_min_max_bal_l12m_max then 1 end) as 'NO match sw_min_max_bal_l12m_max', </t>
  </si>
  <si>
    <t xml:space="preserve">count(case when prod.sw_min_max_bal_l12m_max is null and exp.sw_min_max_bal_l12m_max is not null then 1 end) as 'prod null exp Not null sw_min_max_bal_l12m_max', </t>
  </si>
  <si>
    <t>count(case when prod.sw_min_max_bal_l12m_max is not null and exp.sw_min_max_bal_l12m_max is null then 1 end) as 'prod NOT null exp null sw_min_max_bal_l12m_max',</t>
  </si>
  <si>
    <t xml:space="preserve">count(case when prod.sw_avg_num_days_exc_l3m_max = exp.sw_avg_num_days_exc_l3m_max or ( prod.sw_avg_num_days_exc_l3m_max is null and exp.sw_avg_num_days_exc_l3m_max is null) then 1 end) as 'match sw_avg_num_days_exc_l3m_max', </t>
  </si>
  <si>
    <t xml:space="preserve">count(case when prod.sw_avg_num_days_exc_l3m_max &lt;&gt; exp.sw_avg_num_days_exc_l3m_max then 1 end) as 'NO match sw_avg_num_days_exc_l3m_max', </t>
  </si>
  <si>
    <t xml:space="preserve">count(case when prod.sw_avg_num_days_exc_l3m_max is null and exp.sw_avg_num_days_exc_l3m_max is not null then 1 end) as 'prod null exp Not null sw_avg_num_days_exc_l3m_max', </t>
  </si>
  <si>
    <t>count(case when prod.sw_avg_num_days_exc_l3m_max is not null and exp.sw_avg_num_days_exc_l3m_max is null then 1 end) as 'prod NOT null exp null sw_avg_num_days_exc_l3m_max',</t>
  </si>
  <si>
    <t xml:space="preserve">count(case when prod.sw_ratio_bal_cto_max = exp.sw_ratio_bal_cto_max or ( prod.sw_ratio_bal_cto_max is null and exp.sw_ratio_bal_cto_max is null) then 1 end) as 'match sw_ratio_bal_cto_max', </t>
  </si>
  <si>
    <t xml:space="preserve">count(case when prod.sw_ratio_bal_cto_max &lt;&gt; exp.sw_ratio_bal_cto_max then 1 end) as 'NO match sw_ratio_bal_cto_max', </t>
  </si>
  <si>
    <t xml:space="preserve">count(case when prod.sw_ratio_bal_cto_max is null and exp.sw_ratio_bal_cto_max is not null then 1 end) as 'prod null exp Not null sw_ratio_bal_cto_max', </t>
  </si>
  <si>
    <t>count(case when prod.sw_ratio_bal_cto_max is not null and exp.sw_ratio_bal_cto_max is null then 1 end) as 'prod NOT null exp null sw_ratio_bal_cto_max',</t>
  </si>
  <si>
    <t xml:space="preserve">count(case when prod.sw_single_joint_holder_ind = exp.sw_single_joint_holder_ind or ( prod.sw_single_joint_holder_ind is null and exp.sw_single_joint_holder_ind is null) then 1 end) as 'match sw_single_joint_holder_ind', </t>
  </si>
  <si>
    <t xml:space="preserve">count(case when prod.sw_single_joint_holder_ind &lt;&gt; exp.sw_single_joint_holder_ind then 1 end) as 'NO match sw_single_joint_holder_ind', </t>
  </si>
  <si>
    <t xml:space="preserve">count(case when prod.sw_single_joint_holder_ind is null and exp.sw_single_joint_holder_ind is not null then 1 end) as 'prod null exp Not null sw_single_joint_holder_ind', </t>
  </si>
  <si>
    <t>count(case when prod.sw_single_joint_holder_ind is not null and exp.sw_single_joint_holder_ind is null then 1 end) as 'prod NOT null exp null sw_single_joint_holder_ind',</t>
  </si>
  <si>
    <t xml:space="preserve">count(case when prod.sw_cad_12m_count = exp.sw_cad_12m_count or ( prod.sw_cad_12m_count is null and exp.sw_cad_12m_count is null) then 1 end) as 'match sw_cad_12m_count', </t>
  </si>
  <si>
    <t xml:space="preserve">count(case when prod.sw_cad_12m_count &lt;&gt; exp.sw_cad_12m_count then 1 end) as 'NO match sw_cad_12m_count', </t>
  </si>
  <si>
    <t xml:space="preserve">count(case when prod.sw_cad_12m_count is null and exp.sw_cad_12m_count is not null then 1 end) as 'prod null exp Not null sw_cad_12m_count', </t>
  </si>
  <si>
    <t>count(case when prod.sw_cad_12m_count is not null and exp.sw_cad_12m_count is null then 1 end) as 'prod NOT null exp null sw_cad_12m_count',</t>
  </si>
  <si>
    <t xml:space="preserve">count(case when prod.sw_e1b10sp_min = exp.sw_e1b10sp_min or ( prod.sw_e1b10sp_min is null and exp.sw_e1b10sp_min is null) then 1 end) as 'match sw_e1b10sp_min', </t>
  </si>
  <si>
    <t xml:space="preserve">count(case when prod.sw_e1b10sp_min &lt;&gt; exp.sw_e1b10sp_min then 1 end) as 'NO match sw_e1b10sp_min', </t>
  </si>
  <si>
    <t xml:space="preserve">count(case when prod.sw_e1b10sp_min is null and exp.sw_e1b10sp_min is not null then 1 end) as 'prod null exp Not null sw_e1b10sp_min', </t>
  </si>
  <si>
    <t>count(case when prod.sw_e1b10sp_min is not null and exp.sw_e1b10sp_min is null then 1 end) as 'prod NOT null exp null sw_e1b10sp_min',</t>
  </si>
  <si>
    <t xml:space="preserve">count(case when prod.sw_e1e02sp_max = exp.sw_e1e02sp_max or ( prod.sw_e1e02sp_max is null and exp.sw_e1e02sp_max is null) then 1 end) as 'match sw_e1e02sp_max', </t>
  </si>
  <si>
    <t xml:space="preserve">count(case when prod.sw_e1e02sp_max &lt;&gt; exp.sw_e1e02sp_max then 1 end) as 'NO match sw_e1e02sp_max', </t>
  </si>
  <si>
    <t xml:space="preserve">count(case when prod.sw_e1e02sp_max is null and exp.sw_e1e02sp_max is not null then 1 end) as 'prod null exp Not null sw_e1e02sp_max', </t>
  </si>
  <si>
    <t>count(case when prod.sw_e1e02sp_max is not null and exp.sw_e1e02sp_max is null then 1 end) as 'prod NOT null exp null sw_e1e02sp_max',</t>
  </si>
  <si>
    <t xml:space="preserve">count(case when prod.sw_ndecc02sp_max = exp.sw_ndecc02sp_max or ( prod.sw_ndecc02sp_max is null and exp.sw_ndecc02sp_max is null) then 1 end) as 'match sw_ndecc02sp_max', </t>
  </si>
  <si>
    <t xml:space="preserve">count(case when prod.sw_ndecc02sp_max &lt;&gt; exp.sw_ndecc02sp_max then 1 end) as 'NO match sw_ndecc02sp_max', </t>
  </si>
  <si>
    <t xml:space="preserve">count(case when prod.sw_ndecc02sp_max is null and exp.sw_ndecc02sp_max is not null then 1 end) as 'prod null exp Not null sw_ndecc02sp_max', </t>
  </si>
  <si>
    <t>count(case when prod.sw_ndecc02sp_max is not null and exp.sw_ndecc02sp_max is null then 1 end) as 'prod NOT null exp null sw_ndecc02sp_max',</t>
  </si>
  <si>
    <t xml:space="preserve">count(case when prod.sw_ndecc07sp_min = exp.sw_ndecc07sp_min or ( prod.sw_ndecc07sp_min is null and exp.sw_ndecc07sp_min is null) then 1 end) as 'match sw_ndecc07sp_min', </t>
  </si>
  <si>
    <t xml:space="preserve">count(case when prod.sw_ndecc07sp_min &lt;&gt; exp.sw_ndecc07sp_min then 1 end) as 'NO match sw_ndecc07sp_min', </t>
  </si>
  <si>
    <t xml:space="preserve">count(case when prod.sw_ndecc07sp_min is null and exp.sw_ndecc07sp_min is not null then 1 end) as 'prod null exp Not null sw_ndecc07sp_min', </t>
  </si>
  <si>
    <t>count(case when prod.sw_ndecc07sp_min is not null and exp.sw_ndecc07sp_min is null then 1 end) as 'prod NOT null exp null sw_ndecc07sp_min',</t>
  </si>
  <si>
    <t xml:space="preserve">count(case when prod.sw_gg_max = exp.sw_gg_max or ( prod.sw_gg_max is null and exp.sw_gg_max is null) then 1 end) as 'match sw_gg_max', </t>
  </si>
  <si>
    <t xml:space="preserve">count(case when prod.sw_gg_max &lt;&gt; exp.sw_gg_max then 1 end) as 'NO match sw_gg_max', </t>
  </si>
  <si>
    <t xml:space="preserve">count(case when prod.sw_gg_max is null and exp.sw_gg_max is not null then 1 end) as 'prod null exp Not null sw_gg_max', </t>
  </si>
  <si>
    <t>count(case when prod.sw_gg_max is not null and exp.sw_gg_max is null then 1 end) as 'prod NOT null exp null sw_gg_max',</t>
  </si>
  <si>
    <t xml:space="preserve">count(case when prod.sw_hn_min = exp.sw_hn_min or ( prod.sw_hn_min is null and exp.sw_hn_min is null) then 1 end) as 'match sw_hn_min', </t>
  </si>
  <si>
    <t xml:space="preserve">count(case when prod.sw_hn_min &lt;&gt; exp.sw_hn_min then 1 end) as 'NO match sw_hn_min', </t>
  </si>
  <si>
    <t xml:space="preserve">count(case when prod.sw_hn_min is null and exp.sw_hn_min is not null then 1 end) as 'prod null exp Not null sw_hn_min', </t>
  </si>
  <si>
    <t>count(case when prod.sw_hn_min is not null and exp.sw_hn_min is null then 1 end) as 'prod NOT null exp null sw_hn_min',</t>
  </si>
  <si>
    <t xml:space="preserve">count(case when prod.sw_seb_max = exp.sw_seb_max or ( prod.sw_seb_max is null and exp.sw_seb_max is null) then 1 end) as 'match sw_seb_max', </t>
  </si>
  <si>
    <t xml:space="preserve">count(case when prod.sw_seb_max &lt;&gt; exp.sw_seb_max then 1 end) as 'NO match sw_seb_max', </t>
  </si>
  <si>
    <t xml:space="preserve">count(case when prod.sw_seb_max is null and exp.sw_seb_max is not null then 1 end) as 'prod null exp Not null sw_seb_max', </t>
  </si>
  <si>
    <t>count(case when prod.sw_seb_max is not null and exp.sw_seb_max is null then 1 end) as 'prod NOT null exp null sw_seb_max',</t>
  </si>
  <si>
    <t xml:space="preserve">count(case when prod.sw_mhc_max = exp.sw_mhc_max or ( prod.sw_mhc_max is null and exp.sw_mhc_max is null) then 1 end) as 'match sw_mhc_max', </t>
  </si>
  <si>
    <t xml:space="preserve">count(case when prod.sw_mhc_max &lt;&gt; exp.sw_mhc_max then 1 end) as 'NO match sw_mhc_max', </t>
  </si>
  <si>
    <t xml:space="preserve">count(case when prod.sw_mhc_max is null and exp.sw_mhc_max is not null then 1 end) as 'prod null exp Not null sw_mhc_max', </t>
  </si>
  <si>
    <t>count(case when prod.sw_mhc_max is not null and exp.sw_mhc_max is null then 1 end) as 'prod NOT null exp null sw_mhc_max',</t>
  </si>
  <si>
    <t xml:space="preserve">count(case when prod.sw_shc_min = exp.sw_shc_min or ( prod.sw_shc_min is null and exp.sw_shc_min is null) then 1 end) as 'match sw_shc_min', </t>
  </si>
  <si>
    <t xml:space="preserve">count(case when prod.sw_shc_min &lt;&gt; exp.sw_shc_min then 1 end) as 'NO match sw_shc_min', </t>
  </si>
  <si>
    <t xml:space="preserve">count(case when prod.sw_shc_min is null and exp.sw_shc_min is not null then 1 end) as 'prod null exp Not null sw_shc_min', </t>
  </si>
  <si>
    <t>count(case when prod.sw_shc_min is not null and exp.sw_shc_min is null then 1 end) as 'prod NOT null exp null sw_shc_min',</t>
  </si>
  <si>
    <t xml:space="preserve">count(case when prod.sw_max_avg_savbal_l6m_max = exp.sw_max_avg_savbal_l6m_max or ( prod.sw_max_avg_savbal_l6m_max is null and exp.sw_max_avg_savbal_l6m_max is null) then 1 end) as 'match sw_max_avg_savbal_l6m_max', </t>
  </si>
  <si>
    <t xml:space="preserve">count(case when prod.sw_max_avg_savbal_l6m_max &lt;&gt; exp.sw_max_avg_savbal_l6m_max then 1 end) as 'NO match sw_max_avg_savbal_l6m_max', </t>
  </si>
  <si>
    <t xml:space="preserve">count(case when prod.sw_max_avg_savbal_l6m_max is null and exp.sw_max_avg_savbal_l6m_max is not null then 1 end) as 'prod null exp Not null sw_max_avg_savbal_l6m_max', </t>
  </si>
  <si>
    <t>count(case when prod.sw_max_avg_savbal_l6m_max is not null and exp.sw_max_avg_savbal_l6m_max is null then 1 end) as 'prod NOT null exp null sw_max_avg_savbal_l6m_max',</t>
  </si>
  <si>
    <t xml:space="preserve">count(case when prod.sw_max_cshbal_util_l4m_min = exp.sw_max_cshbal_util_l4m_min or ( prod.sw_max_cshbal_util_l4m_min is null and exp.sw_max_cshbal_util_l4m_min is null) then 1 end) as 'match sw_max_cshbal_util_l4m_min', </t>
  </si>
  <si>
    <t xml:space="preserve">count(case when prod.sw_max_cshbal_util_l4m_min &lt;&gt; exp.sw_max_cshbal_util_l4m_min then 1 end) as 'NO match sw_max_cshbal_util_l4m_min', </t>
  </si>
  <si>
    <t xml:space="preserve">count(case when prod.sw_max_cshbal_util_l4m_min is null and exp.sw_max_cshbal_util_l4m_min is not null then 1 end) as 'prod null exp Not null sw_max_cshbal_util_l4m_min', </t>
  </si>
  <si>
    <t>count(case when prod.sw_max_cshbal_util_l4m_min is not null and exp.sw_max_cshbal_util_l4m_min is null then 1 end) as 'prod NOT null exp null sw_max_cshbal_util_l4m_min',</t>
  </si>
  <si>
    <t xml:space="preserve">count(case when prod.sw_avg_netpay_nonbt_l6m_max = exp.sw_avg_netpay_nonbt_l6m_max or ( prod.sw_avg_netpay_nonbt_l6m_max is null and exp.sw_avg_netpay_nonbt_l6m_max is null) then 1 end) as 'match sw_avg_netpay_nonbt_l6m_max', </t>
  </si>
  <si>
    <t xml:space="preserve">count(case when prod.sw_avg_netpay_nonbt_l6m_max &lt;&gt; exp.sw_avg_netpay_nonbt_l6m_max then 1 end) as 'NO match sw_avg_netpay_nonbt_l6m_max', </t>
  </si>
  <si>
    <t xml:space="preserve">count(case when prod.sw_avg_netpay_nonbt_l6m_max is null and exp.sw_avg_netpay_nonbt_l6m_max is not null then 1 end) as 'prod null exp Not null sw_avg_netpay_nonbt_l6m_max', </t>
  </si>
  <si>
    <t>count(case when prod.sw_avg_netpay_nonbt_l6m_max is not null and exp.sw_avg_netpay_nonbt_l6m_max is null then 1 end) as 'prod NOT null exp null sw_avg_netpay_nonbt_l6m_max',</t>
  </si>
  <si>
    <t xml:space="preserve">count(case when prod.sw_mnths_remaining_term = exp.sw_mnths_remaining_term or ( prod.sw_mnths_remaining_term is null and exp.sw_mnths_remaining_term is null) then 1 end) as 'match sw_mnths_remaining_term', </t>
  </si>
  <si>
    <t xml:space="preserve">count(case when prod.sw_mnths_remaining_term &lt;&gt; exp.sw_mnths_remaining_term then 1 end) as 'NO match sw_mnths_remaining_term', </t>
  </si>
  <si>
    <t xml:space="preserve">count(case when prod.sw_mnths_remaining_term is null and exp.sw_mnths_remaining_term is not null then 1 end) as 'prod null exp Not null sw_mnths_remaining_term', </t>
  </si>
  <si>
    <t>count(case when prod.sw_mnths_remaining_term is not null and exp.sw_mnths_remaining_term is null then 1 end) as 'prod NOT null exp null sw_mnths_remaining_term',</t>
  </si>
  <si>
    <t xml:space="preserve">count(case when prod.sw_loan_term_amount_group = exp.sw_loan_term_amount_group or ( prod.sw_loan_term_amount_group is null and exp.sw_loan_term_amount_group is null) then 1 end) as 'match sw_loan_term_amount_group', </t>
  </si>
  <si>
    <t xml:space="preserve">count(case when prod.sw_loan_term_amount_group &lt;&gt; exp.sw_loan_term_amount_group then 1 end) as 'NO match sw_loan_term_amount_group', </t>
  </si>
  <si>
    <t xml:space="preserve">count(case when prod.sw_loan_term_amount_group is null and exp.sw_loan_term_amount_group is not null then 1 end) as 'prod null exp Not null sw_loan_term_amount_group', </t>
  </si>
  <si>
    <t>count(case when prod.sw_loan_term_amount_group is not null and exp.sw_loan_term_amount_group is null then 1 end) as 'prod NOT null exp null sw_loan_term_amount_group',</t>
  </si>
  <si>
    <t xml:space="preserve">count(case when prod.uw_max_num_days_exc_l3m_max = exp.uw_max_num_days_exc_l3m_max or ( prod.uw_max_num_days_exc_l3m_max is null and exp.uw_max_num_days_exc_l3m_max is null) then 1 end) as 'match uw_max_num_days_exc_l3m_max', </t>
  </si>
  <si>
    <t xml:space="preserve">count(case when prod.uw_max_num_days_exc_l3m_max &lt;&gt; exp.uw_max_num_days_exc_l3m_max then 1 end) as 'NO match uw_max_num_days_exc_l3m_max', </t>
  </si>
  <si>
    <t xml:space="preserve">count(case when prod.uw_max_num_days_exc_l3m_max is null and exp.uw_max_num_days_exc_l3m_max is not null then 1 end) as 'prod null exp Not null uw_max_num_days_exc_l3m_max', </t>
  </si>
  <si>
    <t>count(case when prod.uw_max_num_days_exc_l3m_max is not null and exp.uw_max_num_days_exc_l3m_max is null then 1 end) as 'prod NOT null exp null uw_max_num_days_exc_l3m_max',</t>
  </si>
  <si>
    <t xml:space="preserve">count(case when prod.uw_ratio_bal_cto_max = exp.uw_ratio_bal_cto_max or ( prod.uw_ratio_bal_cto_max is null and exp.uw_ratio_bal_cto_max is null) then 1 end) as 'match uw_ratio_bal_cto_max', </t>
  </si>
  <si>
    <t xml:space="preserve">count(case when prod.uw_ratio_bal_cto_max &lt;&gt; exp.uw_ratio_bal_cto_max then 1 end) as 'NO match uw_ratio_bal_cto_max', </t>
  </si>
  <si>
    <t xml:space="preserve">count(case when prod.uw_ratio_bal_cto_max is null and exp.uw_ratio_bal_cto_max is not null then 1 end) as 'prod null exp Not null uw_ratio_bal_cto_max', </t>
  </si>
  <si>
    <t>count(case when prod.uw_ratio_bal_cto_max is not null and exp.uw_ratio_bal_cto_max is null then 1 end) as 'prod NOT null exp null uw_ratio_bal_cto_max',</t>
  </si>
  <si>
    <t xml:space="preserve">count(case when prod.uw_cust_age_max = exp.uw_cust_age_max or ( prod.uw_cust_age_max is null and exp.uw_cust_age_max is null) then 1 end) as 'match uw_cust_age_max', </t>
  </si>
  <si>
    <t xml:space="preserve">count(case when prod.uw_cust_age_max &lt;&gt; exp.uw_cust_age_max then 1 end) as 'NO match uw_cust_age_max', </t>
  </si>
  <si>
    <t xml:space="preserve">count(case when prod.uw_cust_age_max is null and exp.uw_cust_age_max is not null then 1 end) as 'prod null exp Not null uw_cust_age_max', </t>
  </si>
  <si>
    <t>count(case when prod.uw_cust_age_max is not null and exp.uw_cust_age_max is null then 1 end) as 'prod NOT null exp null uw_cust_age_max',</t>
  </si>
  <si>
    <t xml:space="preserve">count(case when prod.uw_cai_1m_flag = exp.uw_cai_1m_flag or ( prod.uw_cai_1m_flag is null and exp.uw_cai_1m_flag is null) then 1 end) as 'match uw_cai_1m_flag', </t>
  </si>
  <si>
    <t xml:space="preserve">count(case when prod.uw_cai_1m_flag &lt;&gt; exp.uw_cai_1m_flag then 1 end) as 'NO match uw_cai_1m_flag', </t>
  </si>
  <si>
    <t xml:space="preserve">count(case when prod.uw_cai_1m_flag is null and exp.uw_cai_1m_flag is not null then 1 end) as 'prod null exp Not null uw_cai_1m_flag', </t>
  </si>
  <si>
    <t>count(case when prod.uw_cai_1m_flag is not null and exp.uw_cai_1m_flag is null then 1 end) as 'prod NOT null exp null uw_cai_1m_flag',</t>
  </si>
  <si>
    <t xml:space="preserve">count(case when prod.uw_pra_daily_dpd_upg = exp.uw_pra_daily_dpd_upg or ( prod.uw_pra_daily_dpd_upg is null and exp.uw_pra_daily_dpd_upg is null) then 1 end) as 'match uw_pra_daily_dpd_upg', </t>
  </si>
  <si>
    <t xml:space="preserve">count(case when prod.uw_pra_daily_dpd_upg &lt;&gt; exp.uw_pra_daily_dpd_upg then 1 end) as 'NO match uw_pra_daily_dpd_upg', </t>
  </si>
  <si>
    <t xml:space="preserve">count(case when prod.uw_pra_daily_dpd_upg is null and exp.uw_pra_daily_dpd_upg is not null then 1 end) as 'prod null exp Not null uw_pra_daily_dpd_upg', </t>
  </si>
  <si>
    <t>count(case when prod.uw_pra_daily_dpd_upg is not null and exp.uw_pra_daily_dpd_upg is null then 1 end) as 'prod NOT null exp null uw_pra_daily_dpd_upg',</t>
  </si>
  <si>
    <t xml:space="preserve">count(case when prod.uw_e1a06sp_min = exp.uw_e1a06sp_min or ( prod.uw_e1a06sp_min is null and exp.uw_e1a06sp_min is null) then 1 end) as 'match uw_e1a06sp_min', </t>
  </si>
  <si>
    <t xml:space="preserve">count(case when prod.uw_e1a06sp_min &lt;&gt; exp.uw_e1a06sp_min then 1 end) as 'NO match uw_e1a06sp_min', </t>
  </si>
  <si>
    <t xml:space="preserve">count(case when prod.uw_e1a06sp_min is null and exp.uw_e1a06sp_min is not null then 1 end) as 'prod null exp Not null uw_e1a06sp_min', </t>
  </si>
  <si>
    <t>count(case when prod.uw_e1a06sp_min is not null and exp.uw_e1a06sp_min is null then 1 end) as 'prod NOT null exp null uw_e1a06sp_min',</t>
  </si>
  <si>
    <t xml:space="preserve">count(case when prod.uw_e1a09sp_max = exp.uw_e1a09sp_max or ( prod.uw_e1a09sp_max is null and exp.uw_e1a09sp_max is null) then 1 end) as 'match uw_e1a09sp_max', </t>
  </si>
  <si>
    <t xml:space="preserve">count(case when prod.uw_e1a09sp_max &lt;&gt; exp.uw_e1a09sp_max then 1 end) as 'NO match uw_e1a09sp_max', </t>
  </si>
  <si>
    <t xml:space="preserve">count(case when prod.uw_e1a09sp_max is null and exp.uw_e1a09sp_max is not null then 1 end) as 'prod null exp Not null uw_e1a09sp_max', </t>
  </si>
  <si>
    <t>count(case when prod.uw_e1a09sp_max is not null and exp.uw_e1a09sp_max is null then 1 end) as 'prod NOT null exp null uw_e1a09sp_max',</t>
  </si>
  <si>
    <t xml:space="preserve">count(case when prod.uw_e1b10sp_min = exp.uw_e1b10sp_min or ( prod.uw_e1b10sp_min is null and exp.uw_e1b10sp_min is null) then 1 end) as 'match uw_e1b10sp_min', </t>
  </si>
  <si>
    <t xml:space="preserve">count(case when prod.uw_e1b10sp_min &lt;&gt; exp.uw_e1b10sp_min then 1 end) as 'NO match uw_e1b10sp_min', </t>
  </si>
  <si>
    <t xml:space="preserve">count(case when prod.uw_e1b10sp_min is null and exp.uw_e1b10sp_min is not null then 1 end) as 'prod null exp Not null uw_e1b10sp_min', </t>
  </si>
  <si>
    <t>count(case when prod.uw_e1b10sp_min is not null and exp.uw_e1b10sp_min is null then 1 end) as 'prod NOT null exp null uw_e1b10sp_min',</t>
  </si>
  <si>
    <t xml:space="preserve">count(case when prod.uw_e1b13sp_max = exp.uw_e1b13sp_max or ( prod.uw_e1b13sp_max is null and exp.uw_e1b13sp_max is null) then 1 end) as 'match uw_e1b13sp_max', </t>
  </si>
  <si>
    <t xml:space="preserve">count(case when prod.uw_e1b13sp_max &lt;&gt; exp.uw_e1b13sp_max then 1 end) as 'NO match uw_e1b13sp_max', </t>
  </si>
  <si>
    <t xml:space="preserve">count(case when prod.uw_e1b13sp_max is null and exp.uw_e1b13sp_max is not null then 1 end) as 'prod null exp Not null uw_e1b13sp_max', </t>
  </si>
  <si>
    <t>count(case when prod.uw_e1b13sp_max is not null and exp.uw_e1b13sp_max is null then 1 end) as 'prod NOT null exp null uw_e1b13sp_max',</t>
  </si>
  <si>
    <t xml:space="preserve">count(case when prod.uw_e2g11spa_max = exp.uw_e2g11spa_max or ( prod.uw_e2g11spa_max is null and exp.uw_e2g11spa_max is null) then 1 end) as 'match uw_e2g11spa_max', </t>
  </si>
  <si>
    <t xml:space="preserve">count(case when prod.uw_e2g11spa_max &lt;&gt; exp.uw_e2g11spa_max then 1 end) as 'NO match uw_e2g11spa_max', </t>
  </si>
  <si>
    <t xml:space="preserve">count(case when prod.uw_e2g11spa_max is null and exp.uw_e2g11spa_max is not null then 1 end) as 'prod null exp Not null uw_e2g11spa_max', </t>
  </si>
  <si>
    <t>count(case when prod.uw_e2g11spa_max is not null and exp.uw_e2g11spa_max is null then 1 end) as 'prod NOT null exp null uw_e2g11spa_max',</t>
  </si>
  <si>
    <t xml:space="preserve">count(case when prod.uw_ea1d01sp_max = exp.uw_ea1d01sp_max or ( prod.uw_ea1d01sp_max is null and exp.uw_ea1d01sp_max is null) then 1 end) as 'match uw_ea1d01sp_max', </t>
  </si>
  <si>
    <t xml:space="preserve">count(case when prod.uw_ea1d01sp_max &lt;&gt; exp.uw_ea1d01sp_max then 1 end) as 'NO match uw_ea1d01sp_max', </t>
  </si>
  <si>
    <t xml:space="preserve">count(case when prod.uw_ea1d01sp_max is null and exp.uw_ea1d01sp_max is not null then 1 end) as 'prod null exp Not null uw_ea1d01sp_max', </t>
  </si>
  <si>
    <t>count(case when prod.uw_ea1d01sp_max is not null and exp.uw_ea1d01sp_max is null then 1 end) as 'prod NOT null exp null uw_ea1d01sp_max',</t>
  </si>
  <si>
    <t xml:space="preserve">count(case when prod.uw_ea1e02sp_max = exp.uw_ea1e02sp_max or ( prod.uw_ea1e02sp_max is null and exp.uw_ea1e02sp_max is null) then 1 end) as 'match uw_ea1e02sp_max', </t>
  </si>
  <si>
    <t xml:space="preserve">count(case when prod.uw_ea1e02sp_max &lt;&gt; exp.uw_ea1e02sp_max then 1 end) as 'NO match uw_ea1e02sp_max', </t>
  </si>
  <si>
    <t xml:space="preserve">count(case when prod.uw_ea1e02sp_max is null and exp.uw_ea1e02sp_max is not null then 1 end) as 'prod null exp Not null uw_ea1e02sp_max', </t>
  </si>
  <si>
    <t>count(case when prod.uw_ea1e02sp_max is not null and exp.uw_ea1e02sp_max is null then 1 end) as 'prod NOT null exp null uw_ea1e02sp_max',</t>
  </si>
  <si>
    <t xml:space="preserve">count(case when prod.uw_ndhac09sp_max = exp.uw_ndhac09sp_max or ( prod.uw_ndhac09sp_max is null and exp.uw_ndhac09sp_max is null) then 1 end) as 'match uw_ndhac09sp_max', </t>
  </si>
  <si>
    <t xml:space="preserve">count(case when prod.uw_ndhac09sp_max &lt;&gt; exp.uw_ndhac09sp_max then 1 end) as 'NO match uw_ndhac09sp_max', </t>
  </si>
  <si>
    <t xml:space="preserve">count(case when prod.uw_ndhac09sp_max is null and exp.uw_ndhac09sp_max is not null then 1 end) as 'prod null exp Not null uw_ndhac09sp_max', </t>
  </si>
  <si>
    <t>count(case when prod.uw_ndhac09sp_max is not null and exp.uw_ndhac09sp_max is null then 1 end) as 'prod NOT null exp null uw_ndhac09sp_max',</t>
  </si>
  <si>
    <t xml:space="preserve">count(case when prod.uw_shc_min = exp.uw_shc_min or ( prod.uw_shc_min is null and exp.uw_shc_min is null) then 1 end) as 'match uw_shc_min', </t>
  </si>
  <si>
    <t xml:space="preserve">count(case when prod.uw_shc_min &lt;&gt; exp.uw_shc_min then 1 end) as 'NO match uw_shc_min', </t>
  </si>
  <si>
    <t xml:space="preserve">count(case when prod.uw_shc_min is null and exp.uw_shc_min is not null then 1 end) as 'prod null exp Not null uw_shc_min', </t>
  </si>
  <si>
    <t>count(case when prod.uw_shc_min is not null and exp.uw_shc_min is null then 1 end) as 'prod NOT null exp null uw_shc_min',</t>
  </si>
  <si>
    <t xml:space="preserve">count(case when prod.uw_xm_max = exp.uw_xm_max or ( prod.uw_xm_max is null and exp.uw_xm_max is null) then 1 end) as 'match uw_xm_max', </t>
  </si>
  <si>
    <t xml:space="preserve">count(case when prod.uw_xm_max &lt;&gt; exp.uw_xm_max then 1 end) as 'NO match uw_xm_max', </t>
  </si>
  <si>
    <t xml:space="preserve">count(case when prod.uw_xm_max is null and exp.uw_xm_max is not null then 1 end) as 'prod null exp Not null uw_xm_max', </t>
  </si>
  <si>
    <t>count(case when prod.uw_xm_max is not null and exp.uw_xm_max is null then 1 end) as 'prod NOT null exp null uw_xm_max',</t>
  </si>
  <si>
    <t xml:space="preserve">count(case when prod.uw_max_avg_savbal_l6m_max = exp.uw_max_avg_savbal_l6m_max or ( prod.uw_max_avg_savbal_l6m_max is null and exp.uw_max_avg_savbal_l6m_max is null) then 1 end) as 'match uw_max_avg_savbal_l6m_max', </t>
  </si>
  <si>
    <t xml:space="preserve">count(case when prod.uw_max_avg_savbal_l6m_max &lt;&gt; exp.uw_max_avg_savbal_l6m_max then 1 end) as 'NO match uw_max_avg_savbal_l6m_max', </t>
  </si>
  <si>
    <t xml:space="preserve">count(case when prod.uw_max_avg_savbal_l6m_max is null and exp.uw_max_avg_savbal_l6m_max is not null then 1 end) as 'prod null exp Not null uw_max_avg_savbal_l6m_max', </t>
  </si>
  <si>
    <t>count(case when prod.uw_max_avg_savbal_l6m_max is not null and exp.uw_max_avg_savbal_l6m_max is null then 1 end) as 'prod NOT null exp null uw_max_avg_savbal_l6m_max',</t>
  </si>
  <si>
    <t xml:space="preserve">count(case when prod.uw_billed_bal_min = exp.uw_billed_bal_min or ( prod.uw_billed_bal_min is null and exp.uw_billed_bal_min is null) then 1 end) as 'match uw_billed_bal_min', </t>
  </si>
  <si>
    <t xml:space="preserve">count(case when prod.uw_billed_bal_min &lt;&gt; exp.uw_billed_bal_min then 1 end) as 'NO match uw_billed_bal_min', </t>
  </si>
  <si>
    <t xml:space="preserve">count(case when prod.uw_billed_bal_min is null and exp.uw_billed_bal_min is not null then 1 end) as 'prod null exp Not null uw_billed_bal_min', </t>
  </si>
  <si>
    <t>count(case when prod.uw_billed_bal_min is not null and exp.uw_billed_bal_min is null then 1 end) as 'prod NOT null exp null uw_billed_bal_min',</t>
  </si>
  <si>
    <t xml:space="preserve">count(case when prod.uw_unpaid_bill_count_max = exp.uw_unpaid_bill_count_max or ( prod.uw_unpaid_bill_count_max is null and exp.uw_unpaid_bill_count_max is null) then 1 end) as 'match uw_unpaid_bill_count_max', </t>
  </si>
  <si>
    <t xml:space="preserve">count(case when prod.uw_unpaid_bill_count_max &lt;&gt; exp.uw_unpaid_bill_count_max then 1 end) as 'NO match uw_unpaid_bill_count_max', </t>
  </si>
  <si>
    <t xml:space="preserve">count(case when prod.uw_unpaid_bill_count_max is null and exp.uw_unpaid_bill_count_max is not null then 1 end) as 'prod null exp Not null uw_unpaid_bill_count_max', </t>
  </si>
  <si>
    <t>count(case when prod.uw_unpaid_bill_count_max is not null and exp.uw_unpaid_bill_count_max is null then 1 end) as 'prod NOT null exp null uw_unpaid_bill_count_max',</t>
  </si>
  <si>
    <t xml:space="preserve">count(case when prod.segment = exp.segment or ( prod.segment is null and exp.segment is null) then 1 end) as 'match segment', </t>
  </si>
  <si>
    <t xml:space="preserve">count(case when prod.segment &lt;&gt; exp.segment then 1 end) as 'NO match segment', </t>
  </si>
  <si>
    <t xml:space="preserve">count(case when prod.segment is null and exp.segment is not null then 1 end) as 'prod null exp Not null segment', </t>
  </si>
  <si>
    <t>count(case when prod.segment is not null and exp.segment is null then 1 end) as 'prod NOT null exp null segment',</t>
  </si>
  <si>
    <t xml:space="preserve">count(case when prod.bh_score = exp.bh_score or ( prod.bh_score is null and exp.bh_score is null) then 1 end) as 'match bh_score', </t>
  </si>
  <si>
    <t xml:space="preserve">count(case when prod.bh_score &lt;&gt; exp.bh_score then 1 end) as 'NO match bh_score', </t>
  </si>
  <si>
    <t xml:space="preserve">count(case when prod.bh_score is null and exp.bh_score is not null then 1 end) as 'prod null exp Not null bh_score', </t>
  </si>
  <si>
    <t>count(case when prod.bh_score is not null and exp.bh_score is null then 1 end) as 'prod NOT null exp null bh_score',</t>
  </si>
  <si>
    <t xml:space="preserve">count(case when prod.audt_process_status = exp.audt_process_status or ( prod.audt_process_status is null and exp.audt_process_status is null) then 1 end) as 'match audt_process_status', </t>
  </si>
  <si>
    <t xml:space="preserve">count(case when prod.audt_process_status &lt;&gt; exp.audt_process_status then 1 end) as 'NO match audt_process_status', </t>
  </si>
  <si>
    <t xml:space="preserve">count(case when prod.audt_process_status is null and exp.audt_process_status is not null then 1 end) as 'prod null exp Not null audt_process_status', </t>
  </si>
  <si>
    <t>count(case when prod.audt_process_status is not null and exp.audt_process_status is null then 1 end) as 'prod NOT null exp null audt_process_status',</t>
  </si>
  <si>
    <t xml:space="preserve">count(case when prod.audt_process_timestamp = exp.audt_process_timestamp or ( prod.audt_process_timestamp is null and exp.audt_process_timestamp is null) then 1 end) as 'match audt_process_timestamp', </t>
  </si>
  <si>
    <t xml:space="preserve">count(case when prod.audt_process_timestamp &lt;&gt; exp.audt_process_timestamp then 1 end) as 'NO match audt_process_timestamp', </t>
  </si>
  <si>
    <t xml:space="preserve">count(case when prod.audt_process_timestamp is null and exp.audt_process_timestamp is not null then 1 end) as 'prod null exp Not null audt_process_timestamp', </t>
  </si>
  <si>
    <t>count(case when prod.audt_process_timestamp is not null and exp.audt_process_timestamp is null then 1 end) as 'prod NOT null exp null audt_process_timestamp',</t>
  </si>
  <si>
    <t xml:space="preserve">count(case when prod.software_version = exp.software_version or ( prod.software_version is null and exp.software_version is null) then 1 end) as 'match software_version', </t>
  </si>
  <si>
    <t xml:space="preserve">count(case when prod.software_version &lt;&gt; exp.software_version then 1 end) as 'NO match software_version', </t>
  </si>
  <si>
    <t xml:space="preserve">count(case when prod.software_version is null and exp.software_version is not null then 1 end) as 'prod null exp Not null software_version', </t>
  </si>
  <si>
    <t>count(case when prod.software_version is not null and exp.software_version is null then 1 end) as 'prod NOT null exp null software_version',</t>
  </si>
  <si>
    <t xml:space="preserve">count(case when prod.term_amount_group = exp.term_amount_group or ( prod.term_amount_group is null and exp.term_amount_group is null) then 1 end) as 'match term_amount_group', </t>
  </si>
  <si>
    <t xml:space="preserve">count(case when prod.term_amount_group &lt;&gt; exp.term_amount_group then 1 end) as 'NO match term_amount_group', </t>
  </si>
  <si>
    <t xml:space="preserve">count(case when prod.term_amount_group is null and exp.term_amount_group is not null then 1 end) as 'prod null exp Not null term_amount_group', </t>
  </si>
  <si>
    <t>count(case when prod.term_amount_group is not null and exp.term_amount_group is null then 1 end) as 'prod NOT null exp null term_amount_group',</t>
  </si>
  <si>
    <t>prod.audt_process_timestamp, exp.audt_process_timestamp, prod.audt_execution_version</t>
  </si>
  <si>
    <t xml:space="preserve">from </t>
  </si>
  <si>
    <t>(select *</t>
  </si>
  <si>
    <t xml:space="preserve"> exp_capital_team.upl_bh_score_model_partitions_2879</t>
  </si>
  <si>
    <t>where date_processed in ('2024-09-30')</t>
  </si>
  <si>
    <t>and audt_execution_version in ('ACM2') and model = 'PRA' )prod</t>
  </si>
  <si>
    <t>inner join</t>
  </si>
  <si>
    <t>exp_capital_team.upl_bh_score_model_partitions_2879</t>
  </si>
  <si>
    <t>and audt_execution_version in ('ACM2') and model = 'ECB' )exp</t>
  </si>
  <si>
    <t>on exp.cntr_contract_id= prod.cntr_contract_id and exp.date_processed = prod.date_processed and exp.audt_execution_version = prod.audt_execution_version</t>
  </si>
  <si>
    <t>group by exp.date_processed,prod.audt_process_timestamp, exp.audt_process_timestamp, prod.audt_execution_version</t>
  </si>
  <si>
    <t>select 'e1b07_max',date_processed, audt_execution_version,</t>
  </si>
  <si>
    <t>count(*),</t>
  </si>
  <si>
    <t>count(case when e1a03sp_min= e1a03sp_min_test then 1 end ) as match,</t>
  </si>
  <si>
    <t>count(case when e1a03sp_min&lt;&gt; e1a03sp_min_test then 1 end ) as NO_match,</t>
  </si>
  <si>
    <t>count(case when e1a03sp_min is null and  e1a03sp_min_test is null then 1 end ) as both_null,</t>
  </si>
  <si>
    <t>count(case when e1a03sp_min is null and  e1a03sp_min_test is not null then 1 end ) as tgt_is_null_calc_e1a03sp_min_is_not_null,</t>
  </si>
  <si>
    <t>count(case when e1a03sp_min is not null and  e1a03sp_min_test is null then 1 end ) as tgt_not_null_calc_e1a03sp_min_is_null</t>
  </si>
  <si>
    <t>(select cncm_contract_id, numValue, numValueIncMinus1, numValueIncMissing,</t>
  </si>
  <si>
    <t xml:space="preserve">case </t>
  </si>
  <si>
    <t>when numValue is not null then numValue</t>
  </si>
  <si>
    <t>when numValueIncZero is not null then 0</t>
  </si>
  <si>
    <t>when numValueIncMinus1 is not null then numValueIncMinus1</t>
  </si>
  <si>
    <t>when numValueIncMissing is not null then numValueIncMissing</t>
  </si>
  <si>
    <t>else -99</t>
  </si>
  <si>
    <t>end as e1a03sp_min_test</t>
  </si>
  <si>
    <t xml:space="preserve">(select cncm_contract_id, </t>
  </si>
  <si>
    <t>min(case when mth_since_MRPIR_sp != 0 and mth_since_MRPIR_sp &gt; -1 then mth_since_MRPIR_sp end) as numValue,</t>
  </si>
  <si>
    <t>min(case when mth_since_MRPIR_sp != 0 and mth_since_MRPIR_sp &gt; -99 then mth_since_MRPIR_sp end) as numValueIncMinus1,</t>
  </si>
  <si>
    <t>min(case when mth_since_MRPIR_sp != 0 and mth_since_MRPIR_sp &gt;= -99 then mth_since_MRPIR_sp end) as numValueIncMissing,</t>
  </si>
  <si>
    <t>min(case when mth_since_MRPIR_sp = 0 then mth_since_MRPIR_sp end) as numValueIncZero</t>
  </si>
  <si>
    <t>(select * from</t>
  </si>
  <si>
    <t>(select cncm_contract_id,cncm_customer_id,cncm_type_of_intervention,cncm_customer_source_system,cncm_relationship_start_date,</t>
  </si>
  <si>
    <t>cncm_relationship_end_date from multi_entity_capital_enriched.main_customer_contract_partitions mcc</t>
  </si>
  <si>
    <t>join</t>
  </si>
  <si>
    <t>exp_capital_team.main_upl_driver_pra drv</t>
  </si>
  <si>
    <t xml:space="preserve">on cncm_contract_id = cntr_contract_id and mcc.date_processed = drv.date_processed and </t>
  </si>
  <si>
    <t>mcc.audt_execution_version = drv.audt_execution_version</t>
  </si>
  <si>
    <t>where drv.date_processed = "2024-09-30" and drv.audt_execution_version like 'ACM2') cust</t>
  </si>
  <si>
    <t>left join</t>
  </si>
  <si>
    <t>(SELECT customer_id,mth_since_active_mort_CAIS_sp,mth_since_default_CAIS_sp,</t>
  </si>
  <si>
    <t xml:space="preserve"> mth_since_MRPIR_sp,num_dlq_CAIS_exc_mail_sp,num_outstd_public_info_sp,num_search_rec_6mth_nomail_sp,</t>
  </si>
  <si>
    <t xml:space="preserve"> num_search_rec_6mth_sp,num_status3_worse_6mth_CAIS_sp,val_active_CAIS_exc_mort_sp,value_active_ndlq_CAIS_sp,</t>
  </si>
  <si>
    <t xml:space="preserve"> worst_6m_status_active_CAIS_sp,worst_6m_status_mort_CAIS_sp, mth_since_deliq_CAIS_spa</t>
  </si>
  <si>
    <t xml:space="preserve">  FROM multi_entity_customer_enriched.bureau_reference_partitions</t>
  </si>
  <si>
    <t xml:space="preserve">  WHERE source_system = "experianv11" and date_processed = "2024-09-30") bur</t>
  </si>
  <si>
    <t xml:space="preserve">  on cncm_customer_id = customer_id</t>
  </si>
  <si>
    <t xml:space="preserve"> where cncm_type_of_intervention = "01") tbl1</t>
  </si>
  <si>
    <t xml:space="preserve"> group by cncm_contract_id) tbl2) finl</t>
  </si>
  <si>
    <t>(select * from exp_capital_team.upl_bh_score_model_partitions_2879</t>
  </si>
  <si>
    <t>where date_processed = '2024-09-30' and audt_execution_version = 'ACM2' and model = 'PRA') upl</t>
  </si>
  <si>
    <t>on upl.cntr_contract_id = finl.cncm_contract_id</t>
  </si>
  <si>
    <t>group by date_processed, audt_execution_version</t>
  </si>
  <si>
    <t>union all</t>
  </si>
  <si>
    <t>select 'e1a09sp_max',date_processed, audt_execution_version,</t>
  </si>
  <si>
    <t>count(case when e1a09sp_max= e1a09sp_max_test then 1 end ) as match,</t>
  </si>
  <si>
    <t>count(case when e1a09sp_max&lt;&gt; e1a09sp_max_test then 1 end ) as NO_match,</t>
  </si>
  <si>
    <t>count(case when e1a09sp_max is null and  e1a09sp_max_test is null then 1 end ) as both_null,</t>
  </si>
  <si>
    <t>count(case when e1a09sp_max is null and  e1a09sp_max_test is not null then 1 end ) as tgt_is_null_calc_e1a09sp_max_is_not_null,</t>
  </si>
  <si>
    <t>count(case when e1a09sp_max is not null and  e1a09sp_max_test is null then 1 end ) as tgt_not_null_calc_e1a09sp_max_is_null</t>
  </si>
  <si>
    <t>(</t>
  </si>
  <si>
    <t xml:space="preserve">select cncm_contract_id, </t>
  </si>
  <si>
    <t>max(case when num_dlq_CAIS_exc_mail_sp is not null then num_dlq_CAIS_exc_mail_sp</t>
  </si>
  <si>
    <t>else -99 end) as e1a09sp_max_test</t>
  </si>
  <si>
    <t xml:space="preserve"> group by cncm_contract_id) finl</t>
  </si>
  <si>
    <t>select 'e1b07sp_max',date_processed, audt_execution_version,</t>
  </si>
  <si>
    <t>count(case when e1b07sp_max= e1b07sp_max_test then 1 end ) as match,</t>
  </si>
  <si>
    <t>count(case when e1b07sp_max&lt;&gt; e1b07sp_max_test then 1 end ) as NO_match,</t>
  </si>
  <si>
    <t>count(case when e1b07sp_max is null and  e1b07sp_max_test is null then 1 end ) as both_null,</t>
  </si>
  <si>
    <t>count(case when e1b07sp_max is null and  e1b07sp_max_test is not null then 1 end ) as tgt_is_null_calc_e1b07sp_max_is_not_null,</t>
  </si>
  <si>
    <t>count(case when e1b07sp_max is not null and  e1b07sp_max_test is null then 1 end ) as tgt_not_null_calc_e1b07sp_max_is_null</t>
  </si>
  <si>
    <t>(select cncm_contract_id,</t>
  </si>
  <si>
    <t>case when e1b07sp_max = 9.5 then "Y"</t>
  </si>
  <si>
    <t>when e1b07sp_max = 12 then "12"</t>
  </si>
  <si>
    <t>when e1b07sp_max = 11 then "11"</t>
  </si>
  <si>
    <t>when e1b07sp_max = 10 then "10"</t>
  </si>
  <si>
    <t>when e1b07sp_max = 9 then "9"</t>
  </si>
  <si>
    <t>when e1b07sp_max = 8 then "8"</t>
  </si>
  <si>
    <t>when e1b07sp_max = 7 then "7"</t>
  </si>
  <si>
    <t>when e1b07sp_max = 6 then "6"</t>
  </si>
  <si>
    <t>when e1b07sp_max = 5 then "5"</t>
  </si>
  <si>
    <t>when e1b07sp_max = 4 then "4"</t>
  </si>
  <si>
    <t>when e1b07sp_max = 3 then "3"</t>
  </si>
  <si>
    <t>when e1b07sp_max = 2 then "2"</t>
  </si>
  <si>
    <t>when e1b07sp_max = 1 then "1"</t>
  </si>
  <si>
    <t>when e1b07sp_max = 0.5 then "U"</t>
  </si>
  <si>
    <t>when e1b07sp_max = 0 then "0"</t>
  </si>
  <si>
    <t>when e1b07sp_max = -0.5 then "N"</t>
  </si>
  <si>
    <t>when e1b07sp_max = -1 then "T"</t>
  </si>
  <si>
    <t>when e1b07sp_max = -9 then "X"</t>
  </si>
  <si>
    <t>end</t>
  </si>
  <si>
    <t>as e1b07sp_max_test</t>
  </si>
  <si>
    <t>max(case when e1b07sp is not null then e1b07sp</t>
  </si>
  <si>
    <t>else -9 end) as e1b07sp_max</t>
  </si>
  <si>
    <t>select cncm_contract_id,</t>
  </si>
  <si>
    <t>when worst_6m_status_active_CAIS_sp = 'Y' then 9.5</t>
  </si>
  <si>
    <t>when worst_6m_status_active_CAIS_sp = '9' then 9</t>
  </si>
  <si>
    <t>when worst_6m_status_active_CAIS_sp = '8' then 8</t>
  </si>
  <si>
    <t>when worst_6m_status_active_CAIS_sp = '7' then 7</t>
  </si>
  <si>
    <t>when worst_6m_status_active_CAIS_sp = '6' then 6</t>
  </si>
  <si>
    <t>when worst_6m_status_active_CAIS_sp = '5' then 5</t>
  </si>
  <si>
    <t>when worst_6m_status_active_CAIS_sp = '4' then 4</t>
  </si>
  <si>
    <t>when worst_6m_status_active_CAIS_sp = '3' then 3</t>
  </si>
  <si>
    <t>when worst_6m_status_active_CAIS_sp = '2' then 2</t>
  </si>
  <si>
    <t>when worst_6m_status_active_CAIS_sp = '1' then 1</t>
  </si>
  <si>
    <t>when worst_6m_status_active_CAIS_sp = 'U' then 0.5</t>
  </si>
  <si>
    <t>when worst_6m_status_active_CAIS_sp = '0' then 0</t>
  </si>
  <si>
    <t>when worst_6m_status_active_CAIS_sp = 'N' then -0.5</t>
  </si>
  <si>
    <t>when worst_6m_status_active_CAIS_sp = 'T' then -1</t>
  </si>
  <si>
    <t>when worst_6m_status_active_CAIS_sp is null then -9</t>
  </si>
  <si>
    <t>as e1b07sp</t>
  </si>
  <si>
    <t xml:space="preserve"> where cncm_type_of_intervention = "01") tbl1) tbl2</t>
  </si>
  <si>
    <t xml:space="preserve"> group by cncm_contract_id) tbl3) finl</t>
  </si>
  <si>
    <t>select 'e1b10sp_min',date_processed, audt_execution_version,</t>
  </si>
  <si>
    <t>count(case when e1b10sp_min= e1b10sp_min_test then 1 end ) as match,</t>
  </si>
  <si>
    <t>count(case when e1b10sp_min&lt;&gt; e1b10sp_min_test then 1 end ) as NO_match,</t>
  </si>
  <si>
    <t>count(case when e1b10sp_min is null and  e1b10sp_min_test is null then 1 end ) as both_null,</t>
  </si>
  <si>
    <t>count(case when e1b10sp_min is null and  e1b10sp_min_test is not null then 1 end ) as tgt_is_null_calc_e1b10sp_min_is_not_null,</t>
  </si>
  <si>
    <t>count(case when e1b10sp_min is not null and  e1b10sp_min_test is null then 1 end ) as tgt_not_null_calc_e1b10sp_min_is_null</t>
  </si>
  <si>
    <t xml:space="preserve">(select cncm_contract_id, numValue, numValueIncMinus1, </t>
  </si>
  <si>
    <t>else -9999</t>
  </si>
  <si>
    <t>end as e1b10sp_min_test</t>
  </si>
  <si>
    <t>min(case when val_active_CAIS_exc_mort_sp &gt; -1 then val_active_CAIS_exc_mort_sp end) as numValue,</t>
  </si>
  <si>
    <t>min(case when val_active_CAIS_exc_mort_sp &gt; -9999 then val_active_CAIS_exc_mort_sp end) as numValueIncMinus1</t>
  </si>
  <si>
    <t>select 'ndhac09sp_max',date_processed, audt_execution_version,</t>
  </si>
  <si>
    <t>count(case when ndhac09sp_max= ndhac09sp_max_test then 1 end ) as match,</t>
  </si>
  <si>
    <t>count(case when ndhac09sp_max&lt;&gt; ndhac09sp_max_test then 1 end ) as NO_match,</t>
  </si>
  <si>
    <t>count(case when ndhac09sp_max is null and  ndhac09sp_max_test is null then 1 end ) as both_null,</t>
  </si>
  <si>
    <t>count(case when ndhac09sp_max is null and  ndhac09sp_max_test is not null then 1 end ) as tgt_is_null_calc_ndhac09sp_max_is_not_null,</t>
  </si>
  <si>
    <t>count(case when ndhac09sp_max is not null and  ndhac09sp_max_test is null then 1 end ) as tgt_not_null_calc_ndhac09sp_max_is_null</t>
  </si>
  <si>
    <t>cncm_contract_id,</t>
  </si>
  <si>
    <t>case when ndhac09sp = 9.5 then "Y"</t>
  </si>
  <si>
    <t>when ndhac09sp = 12 then "12"</t>
  </si>
  <si>
    <t>when ndhac09sp = 11 then "11"</t>
  </si>
  <si>
    <t>when ndhac09sp = 10 then "10"</t>
  </si>
  <si>
    <t>when ndhac09sp = 9 then "9"</t>
  </si>
  <si>
    <t>when ndhac09sp = 8 then "8"</t>
  </si>
  <si>
    <t>when ndhac09sp = 7 then "7"</t>
  </si>
  <si>
    <t>when ndhac09sp = 6 then "6"</t>
  </si>
  <si>
    <t>when ndhac09sp = 5 then "5"</t>
  </si>
  <si>
    <t>when ndhac09sp = 4 then "4"</t>
  </si>
  <si>
    <t>when ndhac09sp = 3 then "3"</t>
  </si>
  <si>
    <t>when ndhac09sp = 2 then "2"</t>
  </si>
  <si>
    <t>when ndhac09sp = 1 then "1"</t>
  </si>
  <si>
    <t>when ndhac09sp = 0.5 then "U"</t>
  </si>
  <si>
    <t>when ndhac09sp = 0 then "0"</t>
  </si>
  <si>
    <t>when ndhac09sp = -0.5 then "N"</t>
  </si>
  <si>
    <t>when ndhac09sp = -1 then "T"</t>
  </si>
  <si>
    <t>when ndhac09sp = -9 then "X"</t>
  </si>
  <si>
    <t>end as ndhac09sp_max_test</t>
  </si>
  <si>
    <t>max(case when worst_6m_status_mort_CAIS_sp is not null then worst_6m_status_mort_CAIS_sp</t>
  </si>
  <si>
    <t>else -9 end) as ndhac09sp</t>
  </si>
  <si>
    <t>select 'e1a06sp_min',date_processed, audt_execution_version,</t>
  </si>
  <si>
    <t>count(case when e1a06sp_min= e1a06sp_min_test then 1 end ) as match,</t>
  </si>
  <si>
    <t>count(case when e1a06sp_min&lt;&gt; e1a06sp_min_test then 1 end ) as NO_match,</t>
  </si>
  <si>
    <t>count(case when e1a06sp_min is null and  e1a06sp_min_test is null then 1 end ) as both_null,</t>
  </si>
  <si>
    <t>count(case when e1a06sp_min is null and  e1a06sp_min_test is not null then 1 end ) as tgt_is_null_calc_e1a06sp_min_is_not_null,</t>
  </si>
  <si>
    <t>count(case when e1a06sp_min is not null and  e1a06sp_min_test is null then 1 end ) as tgt_not_null_calc_e1a06sp_min_is_null</t>
  </si>
  <si>
    <t>end as e1a06sp_min_test</t>
  </si>
  <si>
    <t>min(case when mth_since_default_CAIS_sp != 0 and mth_since_default_CAIS_sp &gt; -1 then mth_since_default_CAIS_sp end) as numValue,</t>
  </si>
  <si>
    <t>min(case when mth_since_default_CAIS_sp != 0 and mth_since_default_CAIS_sp &gt; -99 then mth_since_default_CAIS_sp end) as numValueIncMinus1,</t>
  </si>
  <si>
    <t>min(case when mth_since_default_CAIS_sp != 0 and mth_since_default_CAIS_sp &gt;= -99 then mth_since_default_CAIS_sp end) as numValueIncMissing,</t>
  </si>
  <si>
    <t>min(case when mth_since_default_CAIS_sp = 0 then mth_since_default_CAIS_sp end) as numValueIncZero</t>
  </si>
  <si>
    <t xml:space="preserve"> num_dlq_CAIS_exc_mail_sp,num_outstd_public_info_sp,num_search_rec_6mth_nomail_sp,</t>
  </si>
  <si>
    <t>select 'ndecc07sp_min',date_processed, audt_execution_version,</t>
  </si>
  <si>
    <t>count(case when ndecc07sp_min= ndecc07sp_min_test then 1 end ) as match,</t>
  </si>
  <si>
    <t>count(case when ndecc07sp_min&lt;&gt; ndecc07sp_min_test then 1 end ) as NO_match,</t>
  </si>
  <si>
    <t>count(case when ndecc07sp_min is null and  ndecc07sp_min_test is null then 1 end ) as both_null,</t>
  </si>
  <si>
    <t>count(case when ndecc07sp_min is null and  ndecc07sp_min_test is not null then 1 end ) as tgt_is_null_calc_ndecc07sp_min_is_not_null,</t>
  </si>
  <si>
    <t>count(case when ndecc07sp_min is not null and  ndecc07sp_min_test is null then 1 end ) as tgt_not_null_calc_ndecc07sp_min_is_null</t>
  </si>
  <si>
    <t>end as ndecc07sp_min_test</t>
  </si>
  <si>
    <t>min(case when mth_since_active_mort_CAIS_sp != 0 and mth_since_active_mort_CAIS_sp &gt; -1 then mth_since_active_mort_CAIS_sp end) as numValue,</t>
  </si>
  <si>
    <t>min(case when mth_since_active_mort_CAIS_sp != 0 and mth_since_active_mort_CAIS_sp &gt; -99 then mth_since_active_mort_CAIS_sp end) as numValueIncMinus1,</t>
  </si>
  <si>
    <t>min(case when mth_since_active_mort_CAIS_sp != 0 and mth_since_active_mort_CAIS_sp &gt;= -99 then mth_since_active_mort_CAIS_sp end) as numValueIncMissing,</t>
  </si>
  <si>
    <t>min(case when mth_since_active_mort_CAIS_sp = 0 then mth_since_active_mort_CAIS_sp end) as numValueIncZero</t>
  </si>
  <si>
    <t>(SELECT customer_id,mth_since_active_mort_CAIS_sp,</t>
  </si>
  <si>
    <t>select 'e1b13sp_max',date_processed, audt_execution_version,</t>
  </si>
  <si>
    <t>count(case when e1b13sp_max= e1b13sp_max_test then 1 end ) as match,</t>
  </si>
  <si>
    <t>count(case when e1b13sp_max&lt;&gt; e1b13sp_max_test then 1 end ) as NO_match,</t>
  </si>
  <si>
    <t>count(case when e1b13sp_max is null and  e1b13sp_max_test is null then 1 end ) as both_null,</t>
  </si>
  <si>
    <t>count(case when e1b13sp_max is null and  e1b13sp_max_test is not null then 1 end ) as tgt_is_null_calc_e1b13sp_max_is_not_null,</t>
  </si>
  <si>
    <t>count(case when e1b13sp_max is not null and  e1b13sp_max_test is null then 1 end ) as tgt_not_null_calc_e1b13sp_max_is_null</t>
  </si>
  <si>
    <t>max(case when num_status3_worse_6mth_CAIS_sp is not null then num_status3_worse_6mth_CAIS_sp</t>
  </si>
  <si>
    <t>else -9 end) as e1b13sp_max_test</t>
  </si>
  <si>
    <t xml:space="preserve"> mth_since_MRPIR_sp,num_outstd_public_info_sp,num_search_rec_6mth_nomail_sp,</t>
  </si>
  <si>
    <t>select 'e1e02sp_max',date_processed, audt_execution_version,</t>
  </si>
  <si>
    <t>count(case when e1e02sp_max= e1e02sp_max_test then 1 end ) as match,</t>
  </si>
  <si>
    <t>count(case when e1e02sp_max&lt;&gt; e1e02sp_max_test then 1 end ) as NO_match,</t>
  </si>
  <si>
    <t>count(case when e1e02sp_max is null and  e1e02sp_max_test is null then 1 end ) as both_null,</t>
  </si>
  <si>
    <t>count(case when e1e02sp_max is null and  e1e02sp_max_test is not null then 1 end ) as tgt_is_null_calc_e1e02sp_max_is_not_null,</t>
  </si>
  <si>
    <t>count(case when e1e02sp_max is not null and  e1e02sp_max_test is null then 1 end ) as tgt_not_null_calc_e1e02sp_max_is_null</t>
  </si>
  <si>
    <t>max(case when num_search_rec_6mth_sp is not null then num_search_rec_6mth_sp</t>
  </si>
  <si>
    <t>else -9 end) as e1e02sp_max_test</t>
  </si>
  <si>
    <t xml:space="preserve"> num_search_rec_6mth_sp,val_active_CAIS_exc_mort_sp,value_active_ndlq_CAIS_sp,</t>
  </si>
  <si>
    <t>select 'ea1d01sp_max',date_processed, audt_execution_version,</t>
  </si>
  <si>
    <t>count(case when ea1d01sp_max= ea1d01sp_max_test then 1 end ) as match,</t>
  </si>
  <si>
    <t>count(case when ea1d01sp_max&lt;&gt; ea1d01sp_max_test then 1 end ) as NO_match,</t>
  </si>
  <si>
    <t>count(case when ea1d01sp_max is null and  ea1d01sp_max_test is null then 1 end ) as both_null,</t>
  </si>
  <si>
    <t>count(case when ea1d01sp_max is null and  ea1d01sp_max_test is not null then 1 end ) as tgt_is_null_calc_ea1d01sp_max_is_not_null,</t>
  </si>
  <si>
    <t>count(case when ea1d01sp_max is not null and  ea1d01sp_max_test is null then 1 end ) as tgt_not_null_calc_ea1d01sp_max_is_null</t>
  </si>
  <si>
    <t>max(case when num_outstd_public_info_sp is not null then num_outstd_public_info_sp</t>
  </si>
  <si>
    <t>else -9 end) as ea1d01sp_max_test</t>
  </si>
  <si>
    <t xml:space="preserve"> val_active_CAIS_exc_mort_sp,value_active_ndlq_CAIS_sp,</t>
  </si>
  <si>
    <t>select 'ea1e02sp_max',date_processed, audt_execution_version,</t>
  </si>
  <si>
    <t>count(case when ea1e02sp_max= ea1e02sp_max_test then 1 end ) as match,</t>
  </si>
  <si>
    <t>count(case when ea1e02sp_max&lt;&gt; ea1e02sp_max_test then 1 end ) as NO_match,</t>
  </si>
  <si>
    <t>count(case when ea1e02sp_max is null and  ea1e02sp_max_test is null then 1 end ) as both_null,</t>
  </si>
  <si>
    <t>count(case when ea1e02sp_max is null and  ea1e02sp_max_test is not null then 1 end ) as tgt_is_null_calc_ea1e02sp_max_is_not_null,</t>
  </si>
  <si>
    <t>count(case when ea1e02sp_max is not null and  ea1e02sp_max_test is null then 1 end ) as tgt_not_null_calc_ea1e02sp_max_is_null</t>
  </si>
  <si>
    <t>max(case when num_search_rec_6mth_nomail_sp is not null then num_search_rec_6mth_nomail_sp</t>
  </si>
  <si>
    <t>else -9 end) as ea1e02sp_max_test</t>
  </si>
  <si>
    <t xml:space="preserve"> mth_since_MRPIR_sp,num_search_rec_6mth_nomail_sp,</t>
  </si>
  <si>
    <t>select 'ndecc02sp_max',date_processed, audt_execution_version,</t>
  </si>
  <si>
    <t>count(case when ndecc02sp_max= ndecc02sp_max_test then 1 end ) as match,</t>
  </si>
  <si>
    <t>count(case when ndecc02sp_max&lt;&gt; ndecc02sp_max_test then 1 end ) as NO_match,</t>
  </si>
  <si>
    <t>count(case when ndecc02sp_max is null and  ndecc02sp_max_test is null then 1 end ) as both_null,</t>
  </si>
  <si>
    <t>count(case when ndecc02sp_max is null and  ndecc02sp_max_test is not null then 1 end ) as tgt_is_null_calc_ndecc02sp_max_is_not_null,</t>
  </si>
  <si>
    <t>count(case when ndecc02sp_max is not null and  ndecc02sp_max_test is null then 1 end ) as tgt_not_null_calc_ndecc02sp_max_is_null</t>
  </si>
  <si>
    <t>max(case when value_active_ndlq_CAIS_sp is not null then value_active_ndlq_CAIS_sp</t>
  </si>
  <si>
    <t>else -999 end) as ndecc02sp_max_test</t>
  </si>
  <si>
    <t xml:space="preserve"> mth_since_MRPIR_sp,value_active_ndlq_CAIS_sp,</t>
  </si>
  <si>
    <t xml:space="preserve"> val_active_CAIS_exc_mort_sp,</t>
  </si>
  <si>
    <t>see below</t>
  </si>
  <si>
    <t>tgt_is_null_calc_e1a03sp_min_is_not_null</t>
  </si>
  <si>
    <t>tgt_not_null_calc_e1a03sp_min_is_null</t>
  </si>
  <si>
    <t>e1b07_max</t>
  </si>
  <si>
    <t>e1a09sp_max</t>
  </si>
  <si>
    <t>e1b07sp_max</t>
  </si>
  <si>
    <t>e1b10sp_min</t>
  </si>
  <si>
    <t>ndhac09sp_max</t>
  </si>
  <si>
    <t>e1a06sp_min</t>
  </si>
  <si>
    <t>ndecc07sp_min</t>
  </si>
  <si>
    <t>e1b13sp_max</t>
  </si>
  <si>
    <t>e1e02sp_max</t>
  </si>
  <si>
    <t>ea1d01sp_max</t>
  </si>
  <si>
    <t>ea1e02sp_max</t>
  </si>
  <si>
    <t>ndecc02sp_max</t>
  </si>
  <si>
    <t>logic test all DCM fields</t>
  </si>
  <si>
    <t xml:space="preserve"> e1a03sp_min                 </t>
  </si>
  <si>
    <t xml:space="preserve"> e1a06sp_min                 </t>
  </si>
  <si>
    <t xml:space="preserve"> e1a09sp_max                 </t>
  </si>
  <si>
    <t xml:space="preserve"> e1b07sp_max                 </t>
  </si>
  <si>
    <t xml:space="preserve"> e1b10sp_min                 </t>
  </si>
  <si>
    <t xml:space="preserve"> e1b13sp_max                 </t>
  </si>
  <si>
    <t xml:space="preserve"> e1e02sp_max                 </t>
  </si>
  <si>
    <t xml:space="preserve"> e2g11spa_max                </t>
  </si>
  <si>
    <t xml:space="preserve"> ea1d01sp_max                </t>
  </si>
  <si>
    <t xml:space="preserve"> ea1e02sp_max                </t>
  </si>
  <si>
    <t xml:space="preserve"> ndecc02sp_max               </t>
  </si>
  <si>
    <t xml:space="preserve"> ndecc07sp_min               </t>
  </si>
  <si>
    <t xml:space="preserve"> ndhac09sp_max               </t>
  </si>
  <si>
    <t>regression test with production
logic test on fields with differences</t>
  </si>
  <si>
    <t>regression and logic test field differences</t>
  </si>
  <si>
    <t>regression shows difference in delphi_bankruptcy_ind, arrears_history_cde.
Logic testing of these fields shows working as expected</t>
  </si>
  <si>
    <t>add new partition for new column 'model' so that UK and ECB will have their own partitions, and separate code versions allowing for separation</t>
  </si>
  <si>
    <t>application_loan_partitions</t>
  </si>
  <si>
    <t xml:space="preserve"> application_loan_partitions was run (exp) to load new scores.  Note that there was a fix to missing applications in the source data (PCSM) which has impacted risk_score compared to production.</t>
  </si>
  <si>
    <t>risk_score</t>
  </si>
  <si>
    <t>risk_scorecard_id</t>
  </si>
  <si>
    <t>application_score</t>
  </si>
  <si>
    <t>application_score_id</t>
  </si>
  <si>
    <t>main_UPL_driver</t>
  </si>
  <si>
    <t>in production the new scores will be implemented by PCSM into basel_score fields</t>
  </si>
  <si>
    <t>live scores</t>
  </si>
  <si>
    <t>basel score</t>
  </si>
  <si>
    <t>basel score id</t>
  </si>
  <si>
    <t xml:space="preserve"> select count(*),</t>
  </si>
  <si>
    <t>operational_date,</t>
  </si>
  <si>
    <t>audt_execution_version,</t>
  </si>
  <si>
    <t>model_description,</t>
  </si>
  <si>
    <t>cptl_calculation_level,</t>
  </si>
  <si>
    <t>sum(c08c110) as ead ,</t>
  </si>
  <si>
    <t>sum(c08c260) as reg_rwa ,</t>
  </si>
  <si>
    <t>sum(c08c280) as reg_el ,</t>
  </si>
  <si>
    <t>sum(case when acct_amount_type IN ('DRW','ACR') then coalesce(av_drawn_exp,0) + coalesce(av_interest_exp,0) else 0 end ) as ON_BALANCE,</t>
  </si>
  <si>
    <t>sum(case when acct_amount_type = 'UDW' then av_undrawn_exp else 0 end) as OFF_BALANCE,</t>
  </si>
  <si>
    <t>sum(nominal_balance_reg)</t>
  </si>
  <si>
    <t>from prod_multi_entity_capital_enriched.capital_rrds_fact</t>
  </si>
  <si>
    <t>where</t>
  </si>
  <si>
    <t xml:space="preserve"> operational_date = '2024-09-30'</t>
  </si>
  <si>
    <t>and cptl_corep_template = 'C08'</t>
  </si>
  <si>
    <t>and idtf_source_system = 'PARTENON_RETAIL'</t>
  </si>
  <si>
    <t>and model_description in('UPLs IRB Model','BankAccounts IRB Model')</t>
  </si>
  <si>
    <t>and cptl_engine_used in ('CONTRACTS','SECURITISATION','ADJUSTMENTS')</t>
  </si>
  <si>
    <t>--and cptl_calculation_level = 'ES/ES'</t>
  </si>
  <si>
    <t>and acct_amount_type in ('ACR','DRW','UDW')</t>
  </si>
  <si>
    <t>and audt_execution_version in ('ACM2', 'MCM4')</t>
  </si>
  <si>
    <t>group by</t>
  </si>
  <si>
    <t>cptl_calculation_level</t>
  </si>
  <si>
    <t>order by audt_execution_version,</t>
  </si>
  <si>
    <t>Query submitted at: 2025-04-07 13:54:48 (Coordinator: http://srvcloirlsk110:25000)</t>
  </si>
  <si>
    <t>Query progress can be monitored at: http://srvcloirlsk110:25000/query_plan?query_id=3846f54892318b58:20930cea00000000</t>
  </si>
  <si>
    <t>+----------+------------------+------------------------+------------------------+------------------------+------------------------+------------------------+-----------------------+------------------------+------------------------+-------------------------</t>
  </si>
  <si>
    <t xml:space="preserve"> operational_date </t>
  </si>
  <si>
    <t xml:space="preserve"> audt_execution_version </t>
  </si>
  <si>
    <t xml:space="preserve"> model_description      </t>
  </si>
  <si>
    <t xml:space="preserve"> cptl_calculation_level </t>
  </si>
  <si>
    <t xml:space="preserve"> ead                    </t>
  </si>
  <si>
    <t xml:space="preserve"> reg_rwa                </t>
  </si>
  <si>
    <t xml:space="preserve"> reg_el                </t>
  </si>
  <si>
    <t xml:space="preserve"> on_balance             </t>
  </si>
  <si>
    <t xml:space="preserve"> off_balance            </t>
  </si>
  <si>
    <t xml:space="preserve"> sum(nominal_balance_reg) </t>
  </si>
  <si>
    <t xml:space="preserve"> 2024-09-30       </t>
  </si>
  <si>
    <t xml:space="preserve"> MCM4                   </t>
  </si>
  <si>
    <t xml:space="preserve"> BankAccounts IRB Model </t>
  </si>
  <si>
    <t xml:space="preserve"> ES/ES                  </t>
  </si>
  <si>
    <t xml:space="preserve"> UK/ES                  </t>
  </si>
  <si>
    <t xml:space="preserve"> UK/UK                  </t>
  </si>
  <si>
    <t xml:space="preserve"> UPLs IRB Model         </t>
  </si>
  <si>
    <t xml:space="preserve"> ACM2                   </t>
  </si>
  <si>
    <t>regression test between UK and ECB partitions to show they are aligned currently,</t>
  </si>
  <si>
    <t>update to DCM11 from bureau_reference_partitions
new application_scores (28-33)
new fields for ECB specific application data
uplift calculation</t>
  </si>
  <si>
    <t>T02 - exp_capital_team.main_upl_driver_pra regression with existing columns</t>
  </si>
  <si>
    <t>Note: exp_capital_team.main_upl_driver_sep is used for regression.</t>
  </si>
  <si>
    <t>src_cntr_contract_idcount</t>
  </si>
  <si>
    <t>tgt_cntr_contract_idcount</t>
  </si>
  <si>
    <t>contract_source_system_count</t>
  </si>
  <si>
    <t>cntr_contract_id_count</t>
  </si>
  <si>
    <t>holding_reference_count</t>
  </si>
  <si>
    <t>time_on_books_mths_cnt_count</t>
  </si>
  <si>
    <t>audt_process_timestamp_count</t>
  </si>
  <si>
    <t>software_version_count</t>
  </si>
  <si>
    <t>delphi_bankruptcy_ind_count</t>
  </si>
  <si>
    <t>e1a03_min_count</t>
  </si>
  <si>
    <t>e1a06_max_count</t>
  </si>
  <si>
    <t>e1a06_min_count</t>
  </si>
  <si>
    <t>e1a10_max_count</t>
  </si>
  <si>
    <t>e1b03_min_count</t>
  </si>
  <si>
    <t>e1b07_max_count</t>
  </si>
  <si>
    <t>e1b08_max_count</t>
  </si>
  <si>
    <t>e4q04_max_count</t>
  </si>
  <si>
    <t>ea1e02_min_count</t>
  </si>
  <si>
    <t>ea1f04_max_count</t>
  </si>
  <si>
    <t>ea5s01_min_count</t>
  </si>
  <si>
    <t>e1b10_min_count</t>
  </si>
  <si>
    <t>e1b12_max_count</t>
  </si>
  <si>
    <t>e1b12_min_count</t>
  </si>
  <si>
    <t>e2h07_min_count</t>
  </si>
  <si>
    <t>ndecc02_max_count</t>
  </si>
  <si>
    <t>ndg02_min_count</t>
  </si>
  <si>
    <t>ndhac09_max_count</t>
  </si>
  <si>
    <t>ndhac09_min_count</t>
  </si>
  <si>
    <t>ndspcii_max_count</t>
  </si>
  <si>
    <t>max_bnkg_beh_score_count</t>
  </si>
  <si>
    <t>maturity_days_count</t>
  </si>
  <si>
    <t>current_net_balance_count</t>
  </si>
  <si>
    <t>application_score_id_count</t>
  </si>
  <si>
    <t>loan_term_count</t>
  </si>
  <si>
    <t>original_loan_amt_count</t>
  </si>
  <si>
    <t>original_repayment_amt_count</t>
  </si>
  <si>
    <t>installments_in_arrears_count</t>
  </si>
  <si>
    <t>worst_mths_arrears_l12m_count</t>
  </si>
  <si>
    <t>days_past_due_mnths_count</t>
  </si>
  <si>
    <t>mths_since_last_arrears_imd_count</t>
  </si>
  <si>
    <t>worst_mths_arrears_l12m_imd_count</t>
  </si>
  <si>
    <t>arrears_history_cde_count</t>
  </si>
  <si>
    <t>application_score_count</t>
  </si>
  <si>
    <t>application_input_date_count</t>
  </si>
  <si>
    <t>status_dual_count</t>
  </si>
  <si>
    <t>worst_status_l12m_dual_count</t>
  </si>
  <si>
    <t>in_arrears_l12m_count</t>
  </si>
  <si>
    <t>risk_score_count</t>
  </si>
  <si>
    <t>risk_scorecard_id_count</t>
  </si>
  <si>
    <t>curr_calc_instm_down_qty_count</t>
  </si>
  <si>
    <t>orig_calc_instlm_down_qty_count</t>
  </si>
  <si>
    <t>mnths_remaining_term_count</t>
  </si>
  <si>
    <t>on_balance_sheet_exposure_count</t>
  </si>
  <si>
    <t>cur_orig_bal_ratio_count</t>
  </si>
  <si>
    <t>change_in_arrears_l3m_count</t>
  </si>
  <si>
    <t>maximum_arrears_l12m_count</t>
  </si>
  <si>
    <t>interest_rate_count</t>
  </si>
  <si>
    <t>status_irb2_count</t>
  </si>
  <si>
    <t>arrears_history_cde_irb2_count</t>
  </si>
  <si>
    <t>date_processed_count</t>
  </si>
  <si>
    <t>audt_execution_version_count</t>
  </si>
  <si>
    <t>Pre</t>
  </si>
  <si>
    <t>Prod dc2</t>
  </si>
  <si>
    <t xml:space="preserve">select
tgt.date_processed as date_processed,
tgt.audt_execution_version as audt_execution_version,
count(src.cntr_contract_id) src_cntr_contract_idcount,
count(tgt.cntr_contract_id) tgt_cntr_contract_idcount,
count(src.cntr_contract_id)-sum(case when (src.contract_source_system = tgt.contract_source_system) or (src.contract_source_system is null and tgt.contract_source_system  is null ) then 1 else 0 end) contract_source_system_count,
count(src.cntr_contract_id)-sum(case when (src.cntr_contract_id = tgt.cntr_contract_id) or (src.cntr_contract_id is null and tgt.cntr_contract_id  is null ) then 1 else 0 end) cntr_contract_id_count,
count(src.cntr_contract_id)-sum(case when (src.holding_reference = tgt.holding_reference) or (src.holding_reference is null and tgt.holding_reference  is null ) then 1 else 0 end) holding_reference_count,
count(src.cntr_contract_id)-sum(case when (src.time_on_books_mths_cnt = tgt.time_on_books_mths_cnt) or (src.time_on_books_mths_cnt is null and tgt.time_on_books_mths_cnt  is null ) then 1 else 0 end) time_on_books_mths_cnt_count,
count(src.cntr_contract_id)-sum(case when (src.audt_process_timestamp = tgt.audt_process_timestamp) or (src.audt_process_timestamp is null and tgt.audt_process_timestamp  is null ) then 1 else 0 end) audt_process_timestamp_count,
count(src.cntr_contract_id)-sum(case when (src.software_version = tgt.software_version) or (src.software_version is null and tgt.software_version  is null ) then 1 else 0 end) software_version_count,
count(src.cntr_contract_id)-sum(case when (src.delphi_bankruptcy_ind = tgt.delphi_bankruptcy_ind) or (src.delphi_bankruptcy_ind is null and tgt.delphi_bankruptcy_ind  is null ) then 1 else 0 end) delphi_bankruptcy_ind_count,
count(src.cntr_contract_id)-sum(case when (src.e1a03_min = tgt.e1a03_min) or (src.e1a03_min is null and tgt.e1a03_min  is null ) then 1 else 0 end) e1a03_min_count,
count(src.cntr_contract_id)-sum(case when (src.e1a06_max = tgt.e1a06_max) or (src.e1a06_max is null and tgt.e1a06_max  is null ) then 1 else 0 end) e1a06_max_count,
count(src.cntr_contract_id)-sum(case when (src.e1a06_min = tgt.e1a06_min) or (src.e1a06_min is null and tgt.e1a06_min  is null ) then 1 else 0 end) e1a06_min_count,
count(src.cntr_contract_id)-sum(case when (src.e1a10_max = tgt.e1a10_max) or (src.e1a10_max is null and tgt.e1a10_max  is null ) then 1 else 0 end) e1a10_max_count,
count(src.cntr_contract_id)-sum(case when (src.e1b03_min = tgt.e1b03_min) or (src.e1b03_min is null and tgt.e1b03_min  is null ) then 1 else 0 end) e1b03_min_count,
count(src.cntr_contract_id)-sum(case when (src.e1b07_max = tgt.e1b07_max) or (src.e1b07_max is null and tgt.e1b07_max  is null ) then 1 else 0 end) e1b07_max_count,
count(src.cntr_contract_id)-sum(case when (src.e1b08_max = tgt.e1b08_max) or (src.e1b08_max is null and tgt.e1b08_max  is null ) then 1 else 0 end) e1b08_max_count,
count(src.cntr_contract_id)-sum(case when (src.e4q04_max = tgt.e4q04_max) or (src.e4q04_max is null and tgt.e4q04_max  is null ) then 1 else 0 end) e4q04_max_count,
count(src.cntr_contract_id)-sum(case when (src.ea1e02_min = tgt.ea1e02_min) or (src.ea1e02_min is null and tgt.ea1e02_min  is null ) then 1 else 0 end) ea1e02_min_count,
count(src.cntr_contract_id)-sum(case when (src.ea1f04_max = tgt.ea1f04_max) or (src.ea1f04_max is null and tgt.ea1f04_max  is null ) then 1 else 0 end) ea1f04_max_count,
count(src.cntr_contract_id)-sum(case when (src.ea5s01_min = tgt.ea5s01_min) or (src.ea5s01_min is null and tgt.ea5s01_min  is null ) then 1 else 0 end) ea5s01_min_count,
count(src.cntr_contract_id)-sum(case when (src.e1b10_min = tgt.e1b10_min) or (src.e1b10_min is null and tgt.e1b10_min  is null ) then 1 else 0 end) e1b10_min_count,
count(src.cntr_contract_id)-sum(case when (src.e1b12_max = tgt.e1b12_max) or (src.e1b12_max is null and tgt.e1b12_max  is null ) then 1 else 0 end) e1b12_max_count,
count(src.cntr_contract_id)-sum(case when (src.e1b12_min = tgt.e1b12_min) or (src.e1b12_min is null and tgt.e1b12_min  is null ) then 1 else 0 end) e1b12_min_count,
count(src.cntr_contract_id)-sum(case when (src.e2h07_min = tgt.e2h07_min) or (src.e2h07_min is null and tgt.e2h07_min  is null ) then 1 else 0 end) e2h07_min_count,
count(src.cntr_contract_id)-sum(case when (src.ndecc02_max = tgt.ndecc02_max) or (src.ndecc02_max is null and tgt.ndecc02_max  is null ) then 1 else 0 end) ndecc02_max_count,
count(src.cntr_contract_id)-sum(case when (src.ndg02_min = tgt.ndg02_min) or (src.ndg02_min is null and tgt.ndg02_min  is null ) then 1 else 0 end) ndg02_min_count,
count(src.cntr_contract_id)-sum(case when (src.ndhac09_max = tgt.ndhac09_max) or (src.ndhac09_max is null and tgt.ndhac09_max  is null ) then 1 else 0 end) ndhac09_max_count,
count(src.cntr_contract_id)-sum(case when (src.ndhac09_min = tgt.ndhac09_min) or (src.ndhac09_min is null and tgt.ndhac09_min  is null ) then 1 else 0 end) ndhac09_min_count,
count(src.cntr_contract_id)-sum(case when (src.ndspcii_max = tgt.ndspcii_max) or (src.ndspcii_max is null and tgt.ndspcii_max  is null ) then 1 else 0 end) ndspcii_max_count,
count(src.cntr_contract_id)-sum(case when (src.max_bnkg_beh_score = tgt.max_bnkg_beh_score) or (src.max_bnkg_beh_score is null and tgt.max_bnkg_beh_score  is null ) then 1 else 0 end) max_bnkg_beh_score_count,
count(src.cntr_contract_id)-sum(case when (src.maturity_days = tgt.maturity_days) or (src.maturity_days is null and tgt.maturity_days  is null ) then 1 else 0 end) maturity_days_count,
count(src.cntr_contract_id)-sum(case when (src.current_net_balance = tgt.current_net_balance) or (src.current_net_balance is null and tgt.current_net_balance  is null ) then 1 else 0 end) current_net_balance_count,
count(src.cntr_contract_id)-sum(case when (src.application_score_id = tgt.application_score_id) or (src.application_score_id is null and tgt.application_score_id  is null ) then 1 else 0 end) application_score_id_count,
count(src.cntr_contract_id)-sum(case when (src.loan_term = tgt.loan_term) or (src.loan_term is null and tgt.loan_term  is null ) then 1 else 0 end) loan_term_count,
count(src.cntr_contract_id)-sum(case when (src.original_loan_amt = tgt.original_loan_amt) or (src.original_loan_amt is null and tgt.original_loan_amt  is null ) then 1 else 0 end) original_loan_amt_count,
count(src.cntr_contract_id)-sum(case when (src.original_repayment_amt = tgt.original_repayment_amt) or (src.original_repayment_amt is null and tgt.original_repayment_amt  is null ) then 1 else 0 end) original_repayment_amt_count,
count(src.cntr_contract_id)-sum(case when (src.installments_in_arrears = tgt.installments_in_arrears) or (src.installments_in_arrears is null and tgt.installments_in_arrears  is null ) then 1 else 0 end) installments_in_arrears_count,
count(src.cntr_contract_id)-sum(case when (src.worst_mths_arrears_l12m = tgt.worst_mths_arrears_l12m) or (src.worst_mths_arrears_l12m is null and tgt.worst_mths_arrears_l12m  is null ) then 1 else 0 end) worst_mths_arrears_l12m_count,
count(src.cntr_contract_id)-sum(case when (src.days_past_due_mnths = tgt.days_past_due_mnths) or (src.days_past_due_mnths is null and tgt.days_past_due_mnths  is null ) then 1 else 0 end) days_past_due_mnths_count,
count(src.cntr_contract_id)-sum(case when (src.mths_since_last_arrears_imd = tgt.mths_since_last_arrears_imd) or (src.mths_since_last_arrears_imd is null and tgt.mths_since_last_arrears_imd  is null ) then 1 else 0 end) mths_since_last_arrears_imd_count,
count(src.cntr_contract_id)-sum(case when (src.worst_mths_arrears_l12m_imd = tgt.worst_mths_arrears_l12m_imd) or (src.worst_mths_arrears_l12m_imd is null and tgt.worst_mths_arrears_l12m_imd  is null ) then 1 else 0 end) worst_mths_arrears_l12m_imd_count,
count(src.cntr_contract_id)-sum(case when (src.arrears_history_cde = tgt.arrears_history_cde) or (src.arrears_history_cde is null and tgt.arrears_history_cde  is null ) then 1 else 0 end) arrears_history_cde_count,
count(src.cntr_contract_id)-sum(case when (src.application_score = tgt.application_score) or (src.application_score is null and tgt.application_score  is null ) then 1 else 0 end) application_score_count,
count(src.cntr_contract_id)-sum(case when (src.application_input_date = tgt.application_input_date) or (src.application_input_date is null and tgt.application_input_date  is null ) then 1 else 0 end) application_input_date_count,
count(src.cntr_contract_id)-sum(case when (src.status_dual = tgt.status_dual) or (src.status_dual is null and tgt.status_dual  is null ) then 1 else 0 end) status_dual_count,
count(src.cntr_contract_id)-sum(case when (src.worst_status_l12m_dual = tgt.worst_status_l12m_dual) or (src.worst_status_l12m_dual is null and tgt.worst_status_l12m_dual  is null ) then 1 else 0 end) worst_status_l12m_dual_count,
count(src.cntr_contract_id)-sum(case when (src.in_arrears_l12m = tgt.in_arrears_l12m) or (src.in_arrears_l12m is null and tgt.in_arrears_l12m  is null ) then 1 else 0 end) in_arrears_l12m_count,
count(src.cntr_contract_id)-sum(case when (src.risk_score = tgt.risk_score) or (src.risk_score is null and tgt.risk_score  is null ) then 1 else 0 end) risk_score_count,
count(src.cntr_contract_id)-sum(case when (src.risk_scorecard_id = tgt.risk_scorecard_id) or (src.risk_scorecard_id is null and tgt.risk_scorecard_id  is null ) then 1 else 0 end) risk_scorecard_id_count,
count(src.cntr_contract_id)-sum(case when (src.curr_calc_instm_down_qty = tgt.curr_calc_instm_down_qty) or (src.curr_calc_instm_down_qty is null and tgt.curr_calc_instm_down_qty  is null ) then 1 else 0 end) curr_calc_instm_down_qty_count,
count(src.cntr_contract_id)-sum(case when (src.orig_calc_instlm_down_qty = tgt.orig_calc_instlm_down_qty) or (src.orig_calc_instlm_down_qty is null and tgt.orig_calc_instlm_down_qty  is null ) then 1 else 0 end) orig_calc_instlm_down_qty_count,
count(src.cntr_contract_id)-sum(case when (src.mnths_remaining_term = tgt.mnths_remaining_term) or (src.mnths_remaining_term is null and tgt.mnths_remaining_term  is null ) then 1 else 0 end) mnths_remaining_term_count,
count(src.cntr_contract_id)-sum(case when (src.on_balance_sheet_exposure = tgt.on_balance_sheet_exposure) or (src.on_balance_sheet_exposure is null and tgt.on_balance_sheet_exposure  is null ) then 1 else 0 end) on_balance_sheet_exposure_count,
count(src.cntr_contract_id)-sum(case when (src.cur_orig_bal_ratio = tgt.cur_orig_bal_ratio) or (src.cur_orig_bal_ratio is null and tgt.cur_orig_bal_ratio  is null ) then 1 else 0 end) cur_orig_bal_ratio_count,
count(src.cntr_contract_id)-sum(case when (src.change_in_arrears_l3m = tgt.change_in_arrears_l3m) or (src.change_in_arrears_l3m is null and tgt.change_in_arrears_l3m  is null ) then 1 else 0 end) change_in_arrears_l3m_count,
count(src.cntr_contract_id)-sum(case when (src.maximum_arrears_l12m = tgt.maximum_arrears_l12m) or (src.maximum_arrears_l12m is null and tgt.maximum_arrears_l12m  is null ) then 1 else 0 end) maximum_arrears_l12m_count,
count(src.cntr_contract_id)-sum(case when (src.interest_rate = tgt.interest_rate) or (src.interest_rate is null and tgt.interest_rate  is null ) then 1 else 0 end) interest_rate_count,
count(src.cntr_contract_id)-sum(case when (src.status_irb2 = tgt.status_irb2) or (src.status_irb2 is null and tgt.status_irb2  is null ) then 1 else 0 end) status_irb2_count,
count(src.cntr_contract_id)-sum(case when (src.arrears_history_cde_irb2 = tgt.arrears_history_cde_irb2) or (src.arrears_history_cde_irb2 is null and tgt.arrears_history_cde_irb2  is null ) then 1 else 0 end) arrears_history_cde_irb2_count,
count(src.cntr_contract_id)-sum(case when (src.date_processed = tgt.date_processed) or (src.date_processed is null and tgt.date_processed  is null ) then 1 else 0 end) date_processed_count,
count(src.cntr_contract_id)-sum(case when (src.audt_execution_version = tgt.audt_execution_version) or (src.audt_execution_version is null and tgt.audt_execution_version  is null ) then 1 else 0 end) audt_execution_version_count
from
(select * from retail_capital_enriched.main_upl_driver
where date_processed='2024-09-30' and audt_execution_version='ACM2') src
full outer join
(select * from exp_capital_team.main_upl_driver_pra
where date_processed='2024-09-30' and audt_execution_version='ACM2') tgt
on src.cntr_contract_id = tgt.cntr_contract_id and src.contract_source_system = tgt.contract_source_system
group by tgt.date_processed, tgt.audt_execution_version;									</t>
  </si>
  <si>
    <t xml:space="preserve">select
tgt.date_processed as date_processed,
tgt.audt_execution_version as audt_execution_version,
count(src.cntr_contract_id) src_cntr_contract_idcount,
count(tgt.cntr_contract_id) tgt_cntr_contract_idcount,
count(src.cntr_contract_id)-sum(case when (src.contract_source_system = tgt.contract_source_system) or (src.contract_source_system is null and tgt.contract_source_system  is null ) then 1 else 0 end) contract_source_system_count,
count(src.cntr_contract_id)-sum(case when (src.cntr_contract_id = tgt.cntr_contract_id) or (src.cntr_contract_id is null and tgt.cntr_contract_id  is null ) then 1 else 0 end) cntr_contract_id_count,
count(src.cntr_contract_id)-sum(case when (src.holding_reference = tgt.holding_reference) or (src.holding_reference is null and tgt.holding_reference  is null ) then 1 else 0 end) holding_reference_count,
count(src.cntr_contract_id)-sum(case when (src.time_on_books_mths_cnt = tgt.time_on_books_mths_cnt) or (src.time_on_books_mths_cnt is null and tgt.time_on_books_mths_cnt  is null ) then 1 else 0 end) time_on_books_mths_cnt_count,
count(src.cntr_contract_id)-sum(case when (src.audt_process_timestamp = tgt.audt_process_timestamp) or (src.audt_process_timestamp is null and tgt.audt_process_timestamp  is null ) then 1 else 0 end) audt_process_timestamp_count,
count(src.cntr_contract_id)-sum(case when (src.software_version = tgt.software_version) or (src.software_version is null and tgt.software_version  is null ) then 1 else 0 end) software_version_count,
count(src.cntr_contract_id)-sum(case when (src.delphi_bankruptcy_ind = tgt.delphi_bankruptcy_ind) or (src.delphi_bankruptcy_ind is null and tgt.delphi_bankruptcy_ind  is null ) then 1 else 0 end) delphi_bankruptcy_ind_count,
count(src.cntr_contract_id)-sum(case when (src.e1a03_min = tgt.e1a03_min) or (src.e1a03_min is null and tgt.e1a03_min  is null ) then 1 else 0 end) e1a03_min_count,
count(src.cntr_contract_id)-sum(case when (src.e1a06_max = tgt.e1a06_max) or (src.e1a06_max is null and tgt.e1a06_max  is null ) then 1 else 0 end) e1a06_max_count,
count(src.cntr_contract_id)-sum(case when (src.e1a06_min = tgt.e1a06_min) or (src.e1a06_min is null and tgt.e1a06_min  is null ) then 1 else 0 end) e1a06_min_count,
count(src.cntr_contract_id)-sum(case when (src.e1a10_max = tgt.e1a10_max) or (src.e1a10_max is null and tgt.e1a10_max  is null ) then 1 else 0 end) e1a10_max_count,
count(src.cntr_contract_id)-sum(case when (src.e1b03_min = tgt.e1b03_min) or (src.e1b03_min is null and tgt.e1b03_min  is null ) then 1 else 0 end) e1b03_min_count,
count(src.cntr_contract_id)-sum(case when (src.e1b07_max = tgt.e1b07_max) or (src.e1b07_max is null and tgt.e1b07_max  is null ) then 1 else 0 end) e1b07_max_count,
count(src.cntr_contract_id)-sum(case when (src.e1b08_max = tgt.e1b08_max) or (src.e1b08_max is null and tgt.e1b08_max  is null ) then 1 else 0 end) e1b08_max_count,
count(src.cntr_contract_id)-sum(case when (src.e4q04_max = tgt.e4q04_max) or (src.e4q04_max is null and tgt.e4q04_max  is null ) then 1 else 0 end) e4q04_max_count,
count(src.cntr_contract_id)-sum(case when (src.ea1e02_min = tgt.ea1e02_min) or (src.ea1e02_min is null and tgt.ea1e02_min  is null ) then 1 else 0 end) ea1e02_min_count,
count(src.cntr_contract_id)-sum(case when (src.ea1f04_max = tgt.ea1f04_max) or (src.ea1f04_max is null and tgt.ea1f04_max  is null ) then 1 else 0 end) ea1f04_max_count,
count(src.cntr_contract_id)-sum(case when (src.ea5s01_min = tgt.ea5s01_min) or (src.ea5s01_min is null and tgt.ea5s01_min  is null ) then 1 else 0 end) ea5s01_min_count,
count(src.cntr_contract_id)-sum(case when (src.e1b10_min = tgt.e1b10_min) or (src.e1b10_min is null and tgt.e1b10_min  is null ) then 1 else 0 end) e1b10_min_count,
count(src.cntr_contract_id)-sum(case when (src.e1b12_max = tgt.e1b12_max) or (src.e1b12_max is null and tgt.e1b12_max  is null ) then 1 else 0 end) e1b12_max_count,
count(src.cntr_contract_id)-sum(case when (src.e1b12_min = tgt.e1b12_min) or (src.e1b12_min is null and tgt.e1b12_min  is null ) then 1 else 0 end) e1b12_min_count,
count(src.cntr_contract_id)-sum(case when (src.e2h07_min = tgt.e2h07_min) or (src.e2h07_min is null and tgt.e2h07_min  is null ) then 1 else 0 end) e2h07_min_count,
count(src.cntr_contract_id)-sum(case when (src.ndecc02_max = tgt.ndecc02_max) or (src.ndecc02_max is null and tgt.ndecc02_max  is null ) then 1 else 0 end) ndecc02_max_count,
count(src.cntr_contract_id)-sum(case when (src.ndg02_min = tgt.ndg02_min) or (src.ndg02_min is null and tgt.ndg02_min  is null ) then 1 else 0 end) ndg02_min_count,
count(src.cntr_contract_id)-sum(case when (src.ndhac09_max = tgt.ndhac09_max) or (src.ndhac09_max is null and tgt.ndhac09_max  is null ) then 1 else 0 end) ndhac09_max_count,
count(src.cntr_contract_id)-sum(case when (src.ndhac09_min = tgt.ndhac09_min) or (src.ndhac09_min is null and tgt.ndhac09_min  is null ) then 1 else 0 end) ndhac09_min_count,
count(src.cntr_contract_id)-sum(case when (src.ndspcii_max = tgt.ndspcii_max) or (src.ndspcii_max is null and tgt.ndspcii_max  is null ) then 1 else 0 end) ndspcii_max_count,
count(src.cntr_contract_id)-sum(case when (src.max_bnkg_beh_score = tgt.max_bnkg_beh_score) or (src.max_bnkg_beh_score is null and tgt.max_bnkg_beh_score  is null ) then 1 else 0 end) max_bnkg_beh_score_count,
count(src.cntr_contract_id)-sum(case when (src.maturity_days = tgt.maturity_days) or (src.maturity_days is null and tgt.maturity_days  is null ) then 1 else 0 end) maturity_days_count,
count(src.cntr_contract_id)-sum(case when (src.current_net_balance = tgt.current_net_balance) or (src.current_net_balance is null and tgt.current_net_balance  is null ) then 1 else 0 end) current_net_balance_count,
count(src.cntr_contract_id)-sum(case when (src.application_score_id = tgt.application_score_id) or (src.application_score_id is null and tgt.application_score_id  is null ) then 1 else 0 end) application_score_id_count,
count(src.cntr_contract_id)-sum(case when (src.loan_term = tgt.loan_term) or (src.loan_term is null and tgt.loan_term  is null ) then 1 else 0 end) loan_term_count,
count(src.cntr_contract_id)-sum(case when (src.original_loan_amt = tgt.original_loan_amt) or (src.original_loan_amt is null and tgt.original_loan_amt  is null ) then 1 else 0 end) original_loan_amt_count,
count(src.cntr_contract_id)-sum(case when (src.original_repayment_amt = tgt.original_repayment_amt) or (src.original_repayment_amt is null and tgt.original_repayment_amt  is null ) then 1 else 0 end) original_repayment_amt_count,
count(src.cntr_contract_id)-sum(case when (src.installments_in_arrears = tgt.installments_in_arrears) or (src.installments_in_arrears is null and tgt.installments_in_arrears  is null ) then 1 else 0 end) installments_in_arrears_count,
count(src.cntr_contract_id)-sum(case when (src.worst_mths_arrears_l12m = tgt.worst_mths_arrears_l12m) or (src.worst_mths_arrears_l12m is null and tgt.worst_mths_arrears_l12m  is null ) then 1 else 0 end) worst_mths_arrears_l12m_count,
count(src.cntr_contract_id)-sum(case when (src.days_past_due_mnths = tgt.days_past_due_mnths) or (src.days_past_due_mnths is null and tgt.days_past_due_mnths  is null ) then 1 else 0 end) days_past_due_mnths_count,
count(src.cntr_contract_id)-sum(case when (src.mths_since_last_arrears_imd = tgt.mths_since_last_arrears_imd) or (src.mths_since_last_arrears_imd is null and tgt.mths_since_last_arrears_imd  is null ) then 1 else 0 end) mths_since_last_arrears_imd_count,
count(src.cntr_contract_id)-sum(case when (src.worst_mths_arrears_l12m_imd = tgt.worst_mths_arrears_l12m_imd) or (src.worst_mths_arrears_l12m_imd is null and tgt.worst_mths_arrears_l12m_imd  is null ) then 1 else 0 end) worst_mths_arrears_l12m_imd_count,
count(src.cntr_contract_id)-sum(case when (src.arrears_history_cde = tgt.arrears_history_cde) or (src.arrears_history_cde is null and tgt.arrears_history_cde  is null ) then 1 else 0 end) arrears_history_cde_count,
count(src.cntr_contract_id)-sum(case when (src.application_score = tgt.application_score) or (src.application_score is null and tgt.application_score  is null ) then 1 else 0 end) application_score_count,
count(src.cntr_contract_id)-sum(case when (src.application_input_date = tgt.application_input_date) or (src.application_input_date is null and tgt.application_input_date  is null ) then 1 else 0 end) application_input_date_count,
count(src.cntr_contract_id)-sum(case when (src.status_dual = tgt.status_dual) or (src.status_dual is null and tgt.status_dual  is null ) then 1 else 0 end) status_dual_count,
count(src.cntr_contract_id)-sum(case when (src.worst_status_l12m_dual = tgt.worst_status_l12m_dual) or (src.worst_status_l12m_dual is null and tgt.worst_status_l12m_dual  is null ) then 1 else 0 end) worst_status_l12m_dual_count,
count(src.cntr_contract_id)-sum(case when (src.in_arrears_l12m = tgt.in_arrears_l12m) or (src.in_arrears_l12m is null and tgt.in_arrears_l12m  is null ) then 1 else 0 end) in_arrears_l12m_count,
count(src.cntr_contract_id)-sum(case when (src.risk_score = tgt.risk_score) or (src.risk_score is null and tgt.risk_score  is null ) then 1 else 0 end) risk_score_count,
count(src.cntr_contract_id)-sum(case when (src.risk_scorecard_id = tgt.risk_scorecard_id) or (src.risk_scorecard_id is null and tgt.risk_scorecard_id  is null ) then 1 else 0 end) risk_scorecard_id_count,
count(src.cntr_contract_id)-sum(case when (src.curr_calc_instm_down_qty = tgt.curr_calc_instm_down_qty) or (src.curr_calc_instm_down_qty is null and tgt.curr_calc_instm_down_qty  is null ) then 1 else 0 end) curr_calc_instm_down_qty_count,
count(src.cntr_contract_id)-sum(case when (src.orig_calc_instlm_down_qty = tgt.orig_calc_instlm_down_qty) or (src.orig_calc_instlm_down_qty is null and tgt.orig_calc_instlm_down_qty  is null ) then 1 else 0 end) orig_calc_instlm_down_qty_count,
count(src.cntr_contract_id)-sum(case when (src.mnths_remaining_term = tgt.mnths_remaining_term) or (src.mnths_remaining_term is null and tgt.mnths_remaining_term  is null ) then 1 else 0 end) mnths_remaining_term_count,
count(src.cntr_contract_id)-sum(case when (src.on_balance_sheet_exposure = tgt.on_balance_sheet_exposure) or (src.on_balance_sheet_exposure is null and tgt.on_balance_sheet_exposure  is null ) then 1 else 0 end) on_balance_sheet_exposure_count,
count(src.cntr_contract_id)-sum(case when (src.cur_orig_bal_ratio = tgt.cur_orig_bal_ratio) or (src.cur_orig_bal_ratio is null and tgt.cur_orig_bal_ratio  is null ) then 1 else 0 end) cur_orig_bal_ratio_count,
count(src.cntr_contract_id)-sum(case when (src.change_in_arrears_l3m = tgt.change_in_arrears_l3m) or (src.change_in_arrears_l3m is null and tgt.change_in_arrears_l3m  is null ) then 1 else 0 end) change_in_arrears_l3m_count,
count(src.cntr_contract_id)-sum(case when (src.maximum_arrears_l12m = tgt.maximum_arrears_l12m) or (src.maximum_arrears_l12m is null and tgt.maximum_arrears_l12m  is null ) then 1 else 0 end) maximum_arrears_l12m_count,
count(src.cntr_contract_id)-sum(case when (src.interest_rate = tgt.interest_rate) or (src.interest_rate is null and tgt.interest_rate  is null ) then 1 else 0 end) interest_rate_count,
count(src.cntr_contract_id)-sum(case when (src.status_irb2 = tgt.status_irb2) or (src.status_irb2 is null and tgt.status_irb2  is null ) then 1 else 0 end) status_irb2_count,
count(src.cntr_contract_id)-sum(case when (src.arrears_history_cde_irb2 = tgt.arrears_history_cde_irb2) or (src.arrears_history_cde_irb2 is null and tgt.arrears_history_cde_irb2  is null ) then 1 else 0 end) arrears_history_cde_irb2_count,
count(src.cntr_contract_id)-sum(case when (src.date_processed = tgt.date_processed) or (src.date_processed is null and tgt.date_processed  is null ) then 1 else 0 end) date_processed_count,
count(src.cntr_contract_id)-sum(case when (src.audt_execution_version = tgt.audt_execution_version) or (src.audt_execution_version is null and tgt.audt_execution_version  is null ) then 1 else 0 end) audt_execution_version_count
from
(select * from prod_retail_capital_enriched.main_upl_driver
where date_processed='2024-09-30' and audt_execution_version='ACM2') src
full outer join
(select * from prod_retail_capital_enriched.main_upl_driver
where date_processed='2024-09-30' and audt_execution_version='MCM4') tgt
on src.cntr_contract_id = tgt.cntr_contract_id and src.contract_source_system = tgt.contract_source_system
group by tgt.date_processed, tgt.audt_execution_version;									</t>
  </si>
  <si>
    <t>Expected, Due to change in source table to DCM11</t>
  </si>
  <si>
    <t>Expected, Due to change in source table to DCM12</t>
  </si>
  <si>
    <t>Expected, Due to change in source table to DCM13</t>
  </si>
  <si>
    <t>Expected, Due to change in source table to DCM14</t>
  </si>
  <si>
    <t>Expected, Due to change in source table to DCM15</t>
  </si>
  <si>
    <t>Expected, Due to change in source table to DCM16</t>
  </si>
  <si>
    <t>Expected, Due to change in source table to DCM17</t>
  </si>
  <si>
    <t>Expected, Due to change in source table to DCM18</t>
  </si>
  <si>
    <t>Expected, Due to change in source table to DCM19</t>
  </si>
  <si>
    <t>Expected, Due to change in source table to DCM20</t>
  </si>
  <si>
    <t>Expected, Due to change in source table to DCM21</t>
  </si>
  <si>
    <t>Expected, Due to change in source table to DCM22</t>
  </si>
  <si>
    <t>Expected, Due to change in source table to DCM23</t>
  </si>
  <si>
    <t>Expected, Due to change in source table to DCM24</t>
  </si>
  <si>
    <t>Expected, Due to change in source table to DCM25</t>
  </si>
  <si>
    <t>Expected, Due to change in source table to DCM26</t>
  </si>
  <si>
    <t>Expected, Due to change in source table to DCM27</t>
  </si>
  <si>
    <t>Expected, Due to change in source table to DCM28</t>
  </si>
  <si>
    <t>Expected, Due to change in source table to DCM29</t>
  </si>
  <si>
    <t>Expected, Due to change in source table to DCM30</t>
  </si>
  <si>
    <t>Expected, Due to change in source table to DCM31</t>
  </si>
  <si>
    <t>Expected, Due to change in source and mapping to risk_scorecard_id</t>
  </si>
  <si>
    <t>Expected, Due to change in source contract_loan_dpd_month_partitions (dcm11)</t>
  </si>
  <si>
    <t>Logical testing is as expected, due to application_loan_partitions missing scores fix</t>
  </si>
  <si>
    <t>Expected, Due to change in source and mapping to risk_score</t>
  </si>
  <si>
    <t>Logical testing is as expected</t>
  </si>
  <si>
    <t>delphi_bankruptcy_ind</t>
  </si>
  <si>
    <t>select 
date_processed, 
audt_execution_version,
count(*),
count(case when delphi_bankruptcy_ind= delphi_bankruptcy_ind_test2 then 1 end ) as match,
count(case when delphi_bankruptcy_ind&lt;&gt; delphi_bankruptcy_ind_test2 then 1 end ) as NO_match,
count(case when delphi_bankruptcy_ind is null and  delphi_bankruptcy_ind_test2 is null then 1 end ) as both_null,
count(case when delphi_bankruptcy_ind is null and  delphi_bankruptcy_ind_test2 is not null then 1 end ) as src_is_null_test_is_not_null,
count(case when delphi_bankruptcy_ind is not null and  delphi_bankruptcy_ind_test2 is null then 1 end ) as src_is_not_null_test_is_null
from
(select drv.date_processed, drv.audt_execution_version, cntr_contract_id, contract_source_system, delphi_bankruptcy_ind, 
case when delphi_bankruptcy_ind_test is null then 'N' else delphi_bankruptcy_ind_test end as delphi_bankruptcy_ind_test2 from
(select * from exp_capital_team.main_upl_driver_pra
where date_processed='2024-09-30' and audt_execution_version='ACM2') drv
left outer join
(select cncm_contract_id, group_concat(bankruptcy_detected_sp) as delphi_bankruptcy_ind_list,
case when locate('Y',group_concat(bankruptcy_detected_sp)) &gt; 0 then 'Y' else 'N' end as delphi_bankruptcy_ind_test
from
(select * from multi_entity_capital_enriched.main_customer_contract_partitions
where date_processed='2024-09-30' and audt_execution_version='ACM2' 
and cncm_type_of_intervention = '01') mccp
join
(select * 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</si>
  <si>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src_is_null_test_is_not_null</t>
  </si>
  <si>
    <t>src_is_not_null_test_is_null</t>
  </si>
  <si>
    <t>e1a03_min</t>
  </si>
  <si>
    <t>select 
date_processed, 
audt_execution_version,
count(*),
count(case when e1a03_min= e1a03_min_test2 then 1 end ) as match,
count(case when e1a03_min&lt;&gt; e1a03_min_test2 then 1 end ) as NO_match,
count(case when e1a03_min is null and  e1a03_min_test2 is null then 1 end ) as both_null,
count(case when e1a03_min is null and  e1a03_min_test2 is not null then 1 end ) as src_is_null_test_is_not_null,
count(case when e1a03_min is not null and  e1a03_min_test2 is null then 1 end ) as src_is_not_null_test_is_null
from
(select drv.date_processed, drv.audt_execution_version, cntr_contract_id, contract_source_system, e1a03_min, 
case when e1a03_min_test is null then -999999 else e1a03_min_test end as e1a03_min_test2
from
(select * from exp_capital_team.main_upl_driver_pra
where date_processed='2024-09-30' and audt_execution_version='ACM2') drv
left outer join
(select cncm_contract_id, mth_since_MRPIR_sp2_min,mth_since_MRPIR_sp1_max, 
case when mth_since_MRPIR_sp2_min is not null then mth_since_MRPIR_sp2_min
when mth_since_MRPIR_sp1_max is not null then mth_since_MRPIR_sp1_max
else -999999 end as e1a03_min_test
from
(select cncm_contract_id, max(mth_since_MRPIR_sp1) as mth_since_MRPIR_sp1_max, 
min(mth_since_MRPIR_sp2) as mth_since_MRPIR_sp2_min
from
(select * from multi_entity_capital_enriched.main_customer_contract_partitions
where date_processed='2024-09-30' and audt_execution_version='ACM2' 
and cncm_type_of_intervention = '01') mccp
join
(select customer_id, coalesce(mth_since_MRPIR_sp,-999999) as mth_since_MRPIR_sp1  
from multi_entity_customer_enriched.bureau_reference_partitions
where date_processed='2024-09-30' and source_system = 'experianv11') brp1
on mccp.cncm_customer_id = brp1.customer_id
left outer join
(select customer_id, coalesce(mth_since_MRPIR_sp,-999999) as mth_since_MRPIR_sp2  
from multi_entity_customer_enriched.bureau_reference_partitions
where date_processed='2024-09-30' and source_system = 'experianv11' 
and coalesce(mth_since_MRPIR_sp,-999999) not in (0, -1, -999999)) brp2
on brp1.customer_id = brp2.customer_id
group by cncm_contract_id) a) delphi
on delphi.cncm_contract_id = drv.cntr_contract_id) src
group by date_processed, audt_execution_version;</t>
  </si>
  <si>
    <t>e1a06_max</t>
  </si>
  <si>
    <t>select 
date_processed, 
audt_execution_version,
count(*),
count(case when e1a06_max= e1a06_max_test2 then 1 end ) as match,
count(case when e1a06_max&lt;&gt; e1a06_max_test2 then 1 end ) as NO_match,
count(case when e1a06_max is null and  e1a06_max_test2 is null then 1 end ) as both_null,
count(case when e1a06_max is null and  e1a06_max_test2 is not null then 1 end ) as src_is_null_test_is_not_null,
count(case when e1a06_max is not null and  e1a06_max_test2 is null then 1 end ) as src_is_not_null_test_is_null
from
(select drv.date_processed, drv.audt_execution_version, cntr_contract_id, contract_source_system, e1a06_max, 
case when e1a06_max_test is null then -999999 else e1a06_max_test end as e1a06_max_test2
from
(select * from exp_capital_team.main_upl_driver_pra
where date_processed='2024-09-30' and audt_execution_version='ACM2') drv
left outer join
(select cncm_contract_id, max(mth_since_default_CAIS_sp) as e1a06_max_test
from
(select * from multi_entity_capital_enriched.main_customer_contract_partitions
where date_processed='2024-09-30' and audt_execution_version='ACM2' 
and cncm_type_of_intervention = '01') mccp
join
(select customer_id, coalesce(mth_since_default_CAIS_sp, -999999) as mth_since_default_CAIS_sp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</si>
  <si>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e1a06_min</t>
  </si>
  <si>
    <t>select 
date_processed, 
audt_execution_version,
count(*),
count(case when e1a06_min= e1a06_min_test2 then 1 end ) as match,
count(case when e1a06_min&lt;&gt; e1a06_min_test2 then 1 end ) as NO_match,
count(case when e1a06_min is null and  e1a06_min_test2 is null then 1 end ) as both_null,
count(case when e1a06_min is null and  e1a06_min_test2 is not null then 1 end ) as src_is_null_test_is_not_null,
count(case when e1a06_min is not null and  e1a06_min_test2 is null then 1 end ) as src_is_not_null_test_is_null
from
(select drv.date_processed, drv.audt_execution_version, cntr_contract_id, contract_source_system, e1a06_min, 
case when e1a06_min_test is null then -999999 else e1a06_min_test end as e1a06_min_test2
from
(select * from exp_capital_team.main_upl_driver_pra
where date_processed='2024-09-30' and audt_execution_version='ACM2') drv
left outer join
(select cncm_contract_id, mth_since_default_CAIS_sp2_min,mth_since_default_CAIS_sp1_max, 
case when mth_since_default_CAIS_sp2_min is not null then mth_since_default_CAIS_sp2_min
when mth_since_default_CAIS_sp1_max is not null then mth_since_default_CAIS_sp1_max
else -999999 end as e1a06_min_test
from
(select cncm_contract_id, max(mth_since_default_CAIS_sp1) as mth_since_default_CAIS_sp1_max, 
min(mth_since_default_CAIS_sp2) as mth_since_default_CAIS_sp2_min
from
(select * from multi_entity_capital_enriched.main_customer_contract_partitions
where date_processed='2024-09-30' and audt_execution_version='ACM2' 
and cncm_type_of_intervention = '01') mccp
join
(select customer_id, coalesce(mth_since_default_CAIS_sp,-999999) as mth_since_default_CAIS_sp1  
from multi_entity_customer_enriched.bureau_reference_partitions
where date_processed='2024-09-30' and source_system = 'experianv11') brp1
on mccp.cncm_customer_id = brp1.customer_id
left outer join
(select customer_id, coalesce(mth_since_default_CAIS_sp,-999999) as mth_since_default_CAIS_sp2  
from multi_entity_customer_enriched.bureau_reference_partitions
where date_processed='2024-09-30' and source_system = 'experianv11' 
and coalesce(mth_since_default_CAIS_sp,-999999) not in (0, -1, -999999)) brp2
on brp1.customer_id = brp2.customer_id
group by cncm_contract_id) a) delphi
on delphi.cncm_contract_id = drv.cntr_contract_id) src
group by date_processed, audt_execution_version;</t>
  </si>
  <si>
    <t>e1a10_max</t>
  </si>
  <si>
    <t>select 
date_processed, 
audt_execution_version,
count(*),
count(case when e1a10_max= e1a10_max_test2 then 1 end ) as match,
count(case when e1a10_max&lt;&gt; e1a10_max_test2 then 1 end ) as NO_match,
count(case when e1a10_max is null and  e1a10_max_test2 is null then 1 end ) as both_null,
count(case when e1a10_max is null and  e1a10_max_test2 is not null then 1 end ) as src_is_null_test_is_not_null,
count(case when e1a10_max is not null and  e1a10_max_test2 is null then 1 end ) as src_is_not_null_test_is_null
from
(select drv.date_processed, drv.audt_execution_version, cntr_contract_id, contract_source_system, e1a10_max, 
case when e1a10_max_test is null then -999999 else e1a10_max_test end as e1a10_max_test2
from
(select * from exp_capital_team.main_upl_driver_pra
where date_processed='2024-09-30' and audt_execution_version='ACM2') drv
left outer join
(select cncm_contract_id, max(val_delinquent_CAIS_sp) as e1a10_max_test
from
(select * from multi_entity_capital_enriched.main_customer_contract_partitions
where date_processed='2024-09-30' and audt_execution_version='ACM2' 
and cncm_type_of_intervention = '01') mccp
join
(select customer_id, coalesce(val_delinquent_CAIS_sp, -999999) as val_delinquent_CAIS_sp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</si>
  <si>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e1b03_min</t>
  </si>
  <si>
    <t>select 
date_processed, 
audt_execution_version, 
count(*),
count(case when e1b03_min= e1b03_min_test2 then 1 end ) as match,
count(case when e1b03_min&lt;&gt; e1b03_min_test2 then 1 end ) as NO_match,
count(case when e1b03_min is null and  e1b03_min_test2 is null then 1 end ) as both_null,
count(case when e1b03_min is null and  e1b03_min_test2 is not null then 1 end ) as src_is_null_test_is_not_null,
count(case when e1b03_min is not null and  e1b03_min_test2 is null then 1 end ) as src_is_not_null_test_is_null
from
(select drv.date_processed, drv.audt_execution_version, cntr_contract_id, contract_source_system, e1b03_min, 
case 
when e1b03_min_test = -0.5 then 'N'
when e1b03_min_test = 0.5 then 'U'
when e1b03_min_test = -1.0 then 'T'
else case when e1b03_min_test is not null then cast(e1b03_min_test as string) else '-9' end end e1b03_min_test2
from
(select * from exp_capital_team.main_upl_driver_pra
where date_processed='2024-09-30' and audt_execution_version='ACM2') drv
left outer join
(select cncm_contract_id, worst_6m_status_CAIS_act4_12mth_sp2_min,worst_6m_status_CAIS_act4_12mth_sp1_max, 
case when worst_6m_status_CAIS_act4_12mth_sp2_min is not null then worst_6m_status_CAIS_act4_12mth_sp2_min
when worst_6m_status_CAIS_act4_12mth_sp1_max is not null then worst_6m_status_CAIS_act4_12mth_sp1_max
else -9 end as e1b03_min_test
from
(select cncm_contract_id, max(worst_6m_status_CAIS_act4_12mth_sp1) as worst_6m_status_CAIS_act4_12mth_sp1_max, 
min(worst_6m_status_CAIS_act4_12mth_sp2) as worst_6m_status_CAIS_act4_12mth_sp2_min
from
(select * from multi_entity_capital_enriched.main_customer_contract_partitions
where date_processed='2024-09-30' and audt_execution_version='ACM2' 
and cncm_type_of_intervention = '01') mccp
join
(select customer_id, 
(case when worst_6m_status_CAIS_act4_12mth_sp = 'T' then -1
when worst_6m_status_CAIS_act4_12mth_sp = 'N' then -0.5
when worst_6m_status_CAIS_act4_12mth_sp = 'U' then 0.5
else 
case when regexp_like(worst_6m_status_CAIS_act4_12mth_sp,'^[+-]?[0-9]+(\.[0-9]+)?$') then cast(worst_6m_status_CAIS_act4_12mth_sp as DOUBLE) else -9 end end) as worst_6m_status_CAIS_act4_12mth_sp1  
from multi_entity_customer_enriched.bureau_reference_partitions
where date_processed='2024-09-30' and source_system = 'experianv11') brp1
on mccp.cncm_customer_id = brp1.customer_id
left outer join
(select customer_id, 
(case when worst_6m_status_CAIS_act4_12mth_sp = 'T' then -1
when worst_6m_status_CAIS_act4_12mth_sp = 'N' then -0.5
when worst_6m_status_CAIS_act4_12mth_sp = 'U' then 0.5
else 
case when regexp_like(worst_6m_status_CAIS_act4_12mth_sp,'^[+-]?[0-9]+(\.[0-9]+)?$') then cast(worst_6m_status_CAIS_act4_12mth_sp as DOUBLE) else -9 end end) as worst_6m_status_CAIS_act4_12mth_sp2 
from multi_entity_customer_enriched.bureau_reference_partitions
where date_processed='2024-09-30' and source_system = 'experianv11' 
and (case when worst_6m_status_CAIS_act4_12mth_sp = 'T' then -1
when worst_6m_status_CAIS_act4_12mth_sp = 'N' then -0.5
when worst_6m_status_CAIS_act4_12mth_sp = 'U' then 0.5
else 
case when regexp_like(worst_6m_status_CAIS_act4_12mth_sp,'^[+-]?[0-9]+(\.[0-9]+)?$') then cast(worst_6m_status_CAIS_act4_12mth_sp as DOUBLE) else -9 end end) not in (-0.5, -1, -9)) brp2
on brp1.customer_id = brp2.customer_id
group by cncm_contract_id) a) delphi
on delphi.cncm_contract_id = drv.cntr_contract_id) src
group by date_processed, audt_execution_version;</t>
  </si>
  <si>
    <t>select 
date_processed, 
audt_execution_version, 
count(*),
count(case when e1b07_max= e1b07_max_test2 then 1 end ) as match,
count(case when e1b07_max&lt;&gt; e1b07_max_test2 then 1 end ) as NO_match,
count(case when e1b07_max is null and  e1b07_max_test2 is null then 1 end ) as both_null,
count(case when e1b07_max is null and  e1b07_max_test2 is not null then 1 end ) as src_is_null_test_is_not_null,
count(case when e1b07_max is not null and  e1b07_max_test2 is null then 1 end ) as src_is_not_null_test_is_null
from
(select drv.date_processed, drv.audt_execution_version, cntr_contract_id, contract_source_system, e1b07_max, 
case 
when e1b07_max_test = -0.5 then 'N'
when e1b07_max_test = 0.5 then 'U'
when e1b07_max_test = -1.0 then 'T'
else case when e1b07_max_test is not null then cast(e1b07_max_test as string) else '-9' end end e1b07_max_test2
from
(select * from exp_capital_team.main_upl_driver_pra
where date_processed='2024-09-30' and audt_execution_version='ACM2') drv
left outer join
(select cncm_contract_id, worst_6m_status_active_CAIS_sp_max, 
case when worst_6m_status_active_CAIS_sp_max is not null then worst_6m_status_active_CAIS_sp_max
else -9.0 end as e1b07_max_test
from
(select cncm_contract_id, max(worst_6m_status_active_CAIS_sp) as worst_6m_status_active_CAIS_sp_max
from
(select * from multi_entity_capital_enriched.main_customer_contract_partitions
where date_processed='2024-09-30' and audt_execution_version='ACM2' 
and cncm_type_of_intervention = '01') mccp
join
(select customer_id, 
(case when worst_6m_status_active_CAIS_sp = 'T' then -1
when worst_6m_status_active_CAIS_sp = 'N' then -0.5
when worst_6m_status_active_CAIS_sp = 'U' then 0.5
else 
case when regexp_like(worst_6m_status_active_CAIS_sp,'^[+-]?[0-9]+(\.[0-9]+)?$') then cast(worst_6m_status_active_CAIS_sp as DOUBLE) else -9.0 end end) as worst_6m_status_active_CAIS_sp 
from multi_entity_customer_enriched.bureau_reference_partitions
where date_processed='2024-09-30' and source_system = 'experianv11') brp
on mccp.cncm_customer_id = brp.customer_id
group by cncm_contract_id) a) delphi
on delphi.cncm_contract_id = drv.cntr_contract_id) src
group by date_processed, audt_execution_version;</t>
  </si>
  <si>
    <t>e1b08_max</t>
  </si>
  <si>
    <t>select 
date_processed, 
audt_execution_version, 
count(*),
count(case when e1b08_max= e1b08_max_test2 then 1 end ) as match,
count(case when e1b08_max&lt;&gt; e1b08_max_test2 then 1 end ) as NO_match,
count(case when e1b08_max is null and  e1b08_max_test2 is null then 1 end ) as both_null,
count(case when e1b08_max is null and  e1b08_max_test2 is not null then 1 end ) as src_is_null_test_is_not_null,
count(case when e1b08_max is not null and  e1b08_max_test2 is null then 1 end ) as src_is_not_null_test_is_null
from
(select drv.date_processed, drv.audt_execution_version, cntr_contract_id, contract_source_system, e1b08_max, 
case 
when e1b08_max_test = -0.5 then 'N'
when e1b08_max_test = 0.5 then 'U'
when e1b08_max_test = -1.0 then 'T'
else case when e1b08_max_test is not null then cast(e1b08_max_test as string) else '-9' end end e1b08_max_test2
from
(select * from exp_capital_team.main_upl_driver_pra
where date_processed='2024-09-30' and audt_execution_version='ACM2') drv
left outer join
(select cncm_contract_id, worst_curr_status_active_CAIS_sp_max, 
case when worst_curr_status_active_CAIS_sp_max is not null then worst_curr_status_active_CAIS_sp_max
else -9.0 end as e1b08_max_test
from
(select cncm_contract_id, max(worst_curr_status_active_CAIS_sp) as worst_curr_status_active_CAIS_sp_max
from
(select * from multi_entity_capital_enriched.main_customer_contract_partitions
where date_processed='2024-09-30' and audt_execution_version='ACM2' 
and cncm_type_of_intervention = '01') mccp
join
(select customer_id, 
(case when worst_curr_status_active_CAIS_sp = 'T' then -1
when worst_curr_status_active_CAIS_sp = 'N' then -0.5
when worst_curr_status_active_CAIS_sp = 'U' then 0.5
else 
case when regexp_like(worst_curr_status_active_CAIS_sp,'^[+-]?[0-9]+(\.[0-9]+)?$') then cast(worst_curr_status_active_CAIS_sp as DOUBLE) else -9.0 end end) as worst_curr_status_active_CAIS_sp 
from multi_entity_customer_enriched.bureau_reference_partitions
where date_processed='2024-09-30' and source_system = 'experianv11') brp
on mccp.cncm_customer_id = brp.customer_id
group by cncm_contract_id) a) delphi
on delphi.cncm_contract_id = drv.cntr_contract_id) src
group by date_processed, audt_execution_version;</t>
  </si>
  <si>
    <t>e4q04_max</t>
  </si>
  <si>
    <t>select 
date_processed, 
audt_execution_version,
count(*),
count(case when e4q04_max= e4q04_max_test2 then 1 end ) as match,
count(case when e4q04_max&lt;&gt; e4q04_max_test2 then 1 end ) as NO_match,
count(case when e4q04_max is null and  e4q04_max_test2 is null then 1 end ) as both_null,
count(case when e4q04_max is null and  e4q04_max_test2 is not null then 1 end ) as src_is_null_test_is_not_null,
count(case when e4q04_max is not null and  e4q04_max_test2 is null then 1 end ) as src_is_not_null_test_is_null
from
(select drv.date_processed, drv.audt_execution_version, cntr_contract_id, contract_source_system, e4q04_max, 
case when e4q04_max_test is null then -999999 else e4q04_max_test end as e4q04_max_test2
from
(select * from exp_capital_team.main_upl_driver_pra
where date_processed='2024-09-30' and audt_execution_version='ACM2') drv
left outer join
(select cncm_contract_id, max(years_at_address_sp) as e4q04_max_test
from
(select * from multi_entity_capital_enriched.main_customer_contract_partitions
where date_processed='2024-09-30' and audt_execution_version='ACM2' 
and cncm_type_of_intervention = '01') mccp
join
(select customer_id, coalesce(years_at_address_sp, -999999) as years_at_address_sp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</si>
  <si>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ea1e02_min</t>
  </si>
  <si>
    <t>select 
date_processed, 
audt_execution_version,
count(*),
count(case when ea1e02_min= ea1e02_min_test2 then 1 end ) as match,
count(case when ea1e02_min&lt;&gt; ea1e02_min_test2 then 1 end ) as NO_match,
count(case when ea1e02_min is null and  ea1e02_min_test2 is null then 1 end ) as both_null,
count(case when ea1e02_min is null and  ea1e02_min_test2 is not null then 1 end ) as src_is_null_test_is_not_null,
count(case when ea1e02_min is not null and  ea1e02_min_test2 is null then 1 end ) as src_is_not_null_test_is_null
from
(select drv.date_processed, drv.audt_execution_version, cntr_contract_id, contract_source_system, ea1e02_min, 
case when ea1e02_min_test is null then -999999 else ea1e02_min_test end as ea1e02_min_test2
from
(select * from exp_capital_team.main_upl_driver_pra
where date_processed='2024-09-30' and audt_execution_version='ACM2') drv
left outer join
(select cncm_contract_id, min(num_search_rec_6mth_nomail_sp) as ea1e02_min_test
from
(select * from multi_entity_capital_enriched.main_customer_contract_partitions
where date_processed='2024-09-30' and audt_execution_version='ACM2' 
and cncm_type_of_intervention = '01') mccp
join
(select customer_id, coalesce(num_search_rec_6mth_nomail_sp, -999999) as num_search_rec_6mth_nomail_sp  
from multi_entity_customer_enriched.bureau_reference_partitions
where date_processed='2024-09-30' and source_system = 'experianv11' and coalesce(num_search_rec_6mth_nomail_sp, -999999) not in (-999999)) brp
on mccp.cncm_customer_id = brp.customer_id
group by cncm_contract_id) delphi
on delphi.cncm_contract_id = drv.cntr_contract_id) src
group by date_processed, audt_execution_version;</t>
  </si>
  <si>
    <t>ea1f04_max</t>
  </si>
  <si>
    <t>select 
date_processed, 
audt_execution_version, 
count(*),
count(case when ea1f04_max= ea1f04_max_test2 then 1 end ) as match,
count(case when ea1f04_max&lt;&gt; ea1f04_max_test2 then 1 end ) as NO_match,
count(case when ea1f04_max is null and  ea1f04_max_test2 is null then 1 end ) as both_null,
count(case when ea1f04_max is null and  ea1f04_max_test2 is not null then 1 end ) as src_is_null_test_is_not_null,
count(case when ea1f04_max is not null and  ea1f04_max_test2 is null then 1 end ) as src_is_not_null_test_is_null
from
(select drv.date_processed, drv.audt_execution_version, cntr_contract_id, contract_source_system, ea1f04_max, 
case when ea1f04_max_test is not null then ea1f04_max_test else 'N' end as ea1f04_max_test2
from
(select * from exp_capital_team.main_upl_driver_pra
where date_processed='2024-09-30' and audt_execution_version='ACM2') drv
left outer join
(select cncm_contract_id, worst_CAIS_special_instructions_ind_max, 
case when worst_CAIS_special_instructions_ind_max is not null then worst_CAIS_special_instructions_ind_max
else 'N' end as ea1f04_max_test
from
(select cncm_contract_id, case when max(worst_CAIS_special_instructions_ind) =1 then 'Y' else 'N' end as worst_CAIS_special_instructions_ind_max
from
(select * from multi_entity_capital_enriched.main_customer_contract_partitions
where date_processed='2024-09-30' and audt_execution_version='ACM2' 
and cncm_type_of_intervention = '01') mccp
join
(select customer_id, 
(case when worst_CAIS_special_instructions_ind = 'A' then 1
when worst_CAIS_special_instructions_ind = 'M' then 1
else 0 end) as worst_CAIS_special_instructions_ind 
from multi_entity_customer_enriched.bureau_reference_partitions
where date_processed='2024-09-30' and source_system = 'experianv11') brp
on mccp.cncm_customer_id = brp.customer_id
group by cncm_contract_id) a) delphi
on delphi.cncm_contract_id = drv.cntr_contract_id) src
group by date_processed, audt_execution_version;</t>
  </si>
  <si>
    <t>ea5s01_min</t>
  </si>
  <si>
    <t>select 
date_processed, 
audt_execution_version,
count(*),
count(case when ea5s01_min= ea5s01_min_test2 then 1 end ) as match,
count(case when ea5s01_min&lt;&gt; ea5s01_min_test2 then 1 end ) as NO_match,
count(case when ea5s01_min is null and  ea5s01_min_test2 is null then 1 end ) as both_null,
count(case when ea5s01_min is null and  ea5s01_min_test2 is not null then 1 end ) as src_is_null_test_is_not_null,
count(case when ea5s01_min is not null and  ea5s01_min_test2 is null then 1 end ) as src_is_not_null_test_is_null
from
(select drv.date_processed, drv.audt_execution_version, cntr_contract_id, contract_source_system, ea5s01_min, 
case when ea5s01_min_test is null then -999999 else ea5s01_min_test end as ea5s01_min_test2
from
(select * from exp_capital_team.main_upl_driver_pra
where date_processed='2024-09-30' and audt_execution_version='ACM2') drv
left outer join
(select cncm_contract_id, min(customer_age_sp) as ea5s01_min_test
from
(select * from multi_entity_capital_enriched.main_customer_contract_partitions
where date_processed='2024-09-30' and audt_execution_version='ACM2' 
and cncm_type_of_intervention = '01') mccp
join
(select customer_id, coalesce(customer_age_sp, -999999) as customer_age_sp  
from multi_entity_customer_enriched.bureau_reference_partitions
where date_processed='2024-09-30' and source_system = 'experianv11' and coalesce(customer_age_sp, -999999) not in (-999999)) brp
on mccp.cncm_customer_id = brp.customer_id
group by cncm_contract_id) delphi
on delphi.cncm_contract_id = drv.cntr_contract_id) src
group by date_processed, audt_execution_version;</t>
  </si>
  <si>
    <t>e1b12_max</t>
  </si>
  <si>
    <t>select 
date_processed, 
audt_execution_version,
count(*),
count(case when e1b12_max= e1b12_max_test2 then 1 end ) as match,
count(case when e1b12_max&lt;&gt; e1b12_max_test2 then 1 end ) as NO_match,
count(case when e1b12_max is null and  e1b12_max_test2 is null then 1 end ) as both_null,
count(case when e1b12_max is null and  e1b12_max_test2 is not null then 1 end ) as src_is_null_test_is_not_null,
count(case when e1b12_max is not null and  e1b12_max_test2 is null then 1 end ) as src_is_not_null_test_is_null
from
(select drv.date_processed, drv.audt_execution_version, cntr_contract_id, contract_source_system, e1b12_max, 
case when e1b12_max_test is null then -999999 else e1b12_max_test end as e1b12_max_test2
from
(select * from exp_capital_team.main_upl_driver_pra
where date_processed='2024-09-30' and audt_execution_version='ACM2') drv
left outer join
(select cncm_contract_id, max(num_active_CAIS_acc_status1_sp) as e1b12_max_test
from
(select * from multi_entity_capital_enriched.main_customer_contract_partitions
where date_processed='2024-09-30' and audt_execution_version='ACM2' 
and cncm_type_of_intervention = '01') mccp
join
(select customer_id, coalesce(num_active_CAIS_acc_status1_sp, -999999) as num_active_CAIS_acc_status1_sp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</si>
  <si>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e1b12_min</t>
  </si>
  <si>
    <t>select 
date_processed, 
audt_execution_version,
count(*),
count(case when e1b12_min= e1b12_min_test2 then 1 end ) as match,
count(case when e1b12_min&lt;&gt; e1b12_min_test2 then 1 end ) as NO_match,
count(case when e1b12_min is null and  e1b12_min_test2 is null then 1 end ) as both_null,
count(case when e1b12_min is null and  e1b12_min_test2 is not null then 1 end ) as src_is_null_test_is_not_null,
count(case when e1b12_min is not null and  e1b12_min_test2 is null then 1 end ) as src_is_not_null_test_is_null
from
(select drv.date_processed, drv.audt_execution_version, cntr_contract_id, contract_source_system, e1b12_min, 
case when e1b12_min_test is null then -999999 else e1b12_min_test end as e1b12_min_test2
from
(select * from exp_capital_team.main_upl_driver_pra
where date_processed='2024-09-30' and audt_execution_version='ACM2') drv
left outer join
(select cncm_contract_id, num_active_CAIS_acc_status1_sp2_min,num_active_CAIS_acc_status1_sp1_max, 
case when num_active_CAIS_acc_status1_sp2_min is not null then num_active_CAIS_acc_status1_sp2_min
when num_active_CAIS_acc_status1_sp1_max is not null then num_active_CAIS_acc_status1_sp1_max
else -999999 end as e1b12_min_test
from
(select cncm_contract_id, max(num_active_CAIS_acc_status1_sp1) as num_active_CAIS_acc_status1_sp1_max, 
min(num_active_CAIS_acc_status1_sp2) as num_active_CAIS_acc_status1_sp2_min
from
(select * from multi_entity_capital_enriched.main_customer_contract_partitions
where date_processed='2024-09-30' and audt_execution_version='ACM2' 
and cncm_type_of_intervention = '01') mccp
join
(select customer_id, coalesce(num_active_CAIS_acc_status1_sp,-999999) as num_active_CAIS_acc_status1_sp1  
from multi_entity_customer_enriched.bureau_reference_partitions
where date_processed='2024-09-30' and source_system = 'experianv11') brp1
on mccp.cncm_customer_id = brp1.customer_id
left outer join
(select customer_id, coalesce(num_active_CAIS_acc_status1_sp,-999999) as num_active_CAIS_acc_status1_sp2  
from multi_entity_customer_enriched.bureau_reference_partitions
where date_processed='2024-09-30' and source_system = 'experianv11' 
and coalesce(num_active_CAIS_acc_status1_sp,-999999) not in (-1, -999999)) brp2
on brp1.customer_id = brp2.customer_id
group by cncm_contract_id) a) delphi
on delphi.cncm_contract_id = drv.cntr_contract_id) src
group by date_processed, audt_execution_version;</t>
  </si>
  <si>
    <t>e2h07_min</t>
  </si>
  <si>
    <t>select 
date_processed, 
audt_execution_version, 
count(*),
count(case when e2h07_min= e2h07_min_test2 then 1 end ) as match,
count(case when e2h07_min&lt;&gt; e2h07_min_test2 then 1 end ) as NO_match,
count(case when e2h07_min is null and  e2h07_min_test2 is null then 1 end ) as both_null,
count(case when e2h07_min is null and  e2h07_min_test2 is not null then 1 end ) as src_is_null_test_is_not_null,
count(case when e2h07_min is not null and  e2h07_min_test2 is null then 1 end ) as src_is_not_null_test_is_null
from
(select drv.date_processed, drv.audt_execution_version, cntr_contract_id, contract_source_system, e2h07_min, 
case 
when e2h07_min_test = -0.5 then 'N'
when e2h07_min_test = 0.5 then 'U'
when e2h07_min_test = -1.0 then 'T'
else case when e2h07_min_test is not null then cast(e2h07_min_test as string) else '-9' end end e2h07_min_test2
from
(select * from exp_capital_team.main_upl_driver_pra
where date_processed='2024-09-30' and audt_execution_version='ACM2') drv
left outer join
(select cncm_contract_id, worst_6m_status_active_CAIS_spa2_min,worst_6m_status_active_CAIS_spa1_max, 
case when worst_6m_status_active_CAIS_spa2_min is not null then worst_6m_status_active_CAIS_spa2_min
when worst_6m_status_active_CAIS_spa1_max is not null then worst_6m_status_active_CAIS_spa1_max
else -9 end as e2h07_min_test
from
(select cncm_contract_id, max(worst_6m_status_active_CAIS_spa1) as worst_6m_status_active_CAIS_spa1_max, 
min(worst_6m_status_active_CAIS_spa2) as worst_6m_status_active_CAIS_spa2_min
from
(select * from multi_entity_capital_enriched.main_customer_contract_partitions
where date_processed='2024-09-30' and audt_execution_version='ACM2' 
and cncm_type_of_intervention = '01') mccp
join
(select customer_id, 
(case when worst_6m_status_active_CAIS_spa = 'T' then -1
when worst_6m_status_active_CAIS_spa = 'N' then -0.5
when worst_6m_status_active_CAIS_spa = 'U' then 0.5
else 
case when regexp_like(worst_6m_status_active_CAIS_spa,'^[+-]?[0-9]+(\.[0-9]+)?$') then cast(worst_6m_status_active_CAIS_spa as DOUBLE) else -9 end end) as worst_6m_status_active_CAIS_spa1  
from multi_entity_customer_enriched.bureau_reference_partitions
where date_processed='2024-09-30' and source_system = 'experianv11') brp1
on mccp.cncm_customer_id = brp1.customer_id
left outer join
(select customer_id, 
(case when worst_6m_status_active_CAIS_spa = 'T' then -1
when worst_6m_status_active_CAIS_spa = 'N' then -0.5
when worst_6m_status_active_CAIS_spa = 'U' then 0.5
else 
case when regexp_like(worst_6m_status_active_CAIS_spa,'^[+-]?[0-9]+(\.[0-9]+)?$') then cast(worst_6m_status_active_CAIS_spa as DOUBLE) else -9 end end) as worst_6m_status_active_CAIS_spa2 
from multi_entity_customer_enriched.bureau_reference_partitions
where date_processed='2024-09-30' and source_system = 'experianv11' 
and (case when worst_6m_status_active_CAIS_spa = 'T' then -1
when worst_6m_status_active_CAIS_spa = 'N' then -0.5
when worst_6m_status_active_CAIS_spa = 'U' then 0.5
else 
case when regexp_like(worst_6m_status_active_CAIS_spa,'^[+-]?[0-9]+(\.[0-9]+)?$') then cast(worst_6m_status_active_CAIS_spa as DOUBLE) else -9 end end) not in (-0.5, -1, -9)) brp2
on brp1.customer_id = brp2.customer_id
group by cncm_contract_id) a) delphi
on delphi.cncm_contract_id = drv.cntr_contract_id) src
group by date_processed, audt_execution_version;</t>
  </si>
  <si>
    <t>ndecc02_max</t>
  </si>
  <si>
    <t>select 
date_processed, 
audt_execution_version,
count(*),
count(case when ndecc02_max= ndecc02_max_test2 then 1 end ) as match,
count(case when ndecc02_max&lt;&gt; ndecc02_max_test2 then 1 end ) as NO_match,
count(case when ndecc02_max is null and  ndecc02_max_test2 is null then 1 end ) as both_null,
count(case when ndecc02_max is null and  ndecc02_max_test2 is not null then 1 end ) as src_is_null_test_is_not_null,
count(case when ndecc02_max is not null and  ndecc02_max_test2 is null then 1 end ) as src_is_not_null_test_is_null
from
(select drv.date_processed, drv.audt_execution_version, cntr_contract_id, contract_source_system, ndecc02_max, 
case when ndecc02_max_test is null then -999999 else ndecc02_max_test end as ndecc02_max_test2
from
(select * from exp_capital_team.main_upl_driver_pra
where date_processed='2024-09-30' and audt_execution_version='ACM2') drv
left outer join
(select cncm_contract_id, max(value_active_ndlq_CAIS_sp) as ndecc02_max_test
from
(select * from multi_entity_capital_enriched.main_customer_contract_partitions
where date_processed='2024-09-30' and audt_execution_version='ACM2' 
and cncm_type_of_intervention = '01') mccp
join
(select customer_id, coalesce(value_active_ndlq_CAIS_sp, -999999) as value_active_ndlq_CAIS_sp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</si>
  <si>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ndg02_min</t>
  </si>
  <si>
    <t>select 
date_processed, 
audt_execution_version,
count(*),
count(case when ndg02_min= ndg02_min_test2 then 1 end ) as match,
count(case when ndg02_min&lt;&gt; ndg02_min_test2 then 1 end ) as NO_match,
count(case when ndg02_min is null and  ndg02_min_test2 is null then 1 end ) as both_null,
count(case when ndg02_min is null and  ndg02_min_test2 is not null then 1 end ) as src_is_null_test_is_not_null,
count(case when ndg02_min is not null and  ndg02_min_test2 is null then 1 end ) as src_is_not_null_test_is_null
from
(select drv.date_processed, drv.audt_execution_version, cntr_contract_id, contract_source_system, ndg02_min, 
case when ndg02_min_test is null then -999999 else ndg02_min_test end as ndg02_min_test2
from
(select * from exp_capital_team.main_upl_driver_pra
where date_processed='2024-09-30' and audt_execution_version='ACM2') drv
left outer join
(select cncm_contract_id, geo_delphi_score2_min,geo_delphi_score1_max, 
case when geo_delphi_score2_min is not null then geo_delphi_score2_min
when geo_delphi_score1_max is not null then geo_delphi_score1_max
else -999999 end as ndg02_min_test
from
(select cncm_contract_id, max(geo_delphi_score1) as geo_delphi_score1_max, 
min(geo_delphi_score2) as geo_delphi_score2_min
from
(select * from multi_entity_capital_enriched.main_customer_contract_partitions
where date_processed='2024-09-30' and audt_execution_version='ACM2' 
and cncm_type_of_intervention = '01') mccp
join
(select customer_id, coalesce(geo_delphi_score,-999999) as geo_delphi_score1  
from multi_entity_customer_enriched.bureau_reference_partitions
where date_processed='2024-09-30' and source_system = 'experianv11') brp1
on mccp.cncm_customer_id = brp1.customer_id
left outer join
(select customer_id, coalesce(geo_delphi_score,-999999) as geo_delphi_score2  
from multi_entity_customer_enriched.bureau_reference_partitions
where date_processed='2024-09-30' and source_system = 'experianv11' 
and coalesce(geo_delphi_score,-999999) not in (0, -999999)) brp2
on brp1.customer_id = brp2.customer_id
group by cncm_contract_id) a) delphi
on delphi.cncm_contract_id = drv.cntr_contract_id) src
group by date_processed, audt_execution_version;</t>
  </si>
  <si>
    <t>ndhac09_max</t>
  </si>
  <si>
    <t>select 
date_processed, 
audt_execution_version,
count(*),
count(case when ndhac09_max= ndhac09_max_test2 then 1 end ) as match,
count(case when ndhac09_max&lt;&gt; ndhac09_max_test2 then 1 end ) as NO_match,
count(case when ndhac09_max is null and  ndhac09_max_test2 is null then 1 end ) as both_null,
count(case when ndhac09_max is null and  ndhac09_max_test2 is not null then 1 end ) as src_is_null_test_is_not_null,
count(case when ndhac09_max is not null and  ndhac09_max_test2 is null then 1 end ) as src_is_not_null_test_is_null
from
(select drv.date_processed, drv.audt_execution_version, cntr_contract_id, contract_source_system, ndhac09_max, 
case when ndhac09_max_test is null then -999999 else ndhac09_max_test end as ndhac09_max_test2
from
(select * from exp_capital_team.main_upl_driver_pra
where date_processed='2024-09-30' and audt_execution_version='ACM2') drv
left outer join
(select cncm_contract_id, max(worst_6m_status_mort_CAIS_sp) as ndhac09_max_test
from
(select * from multi_entity_capital_enriched.main_customer_contract_partitions
where date_processed='2024-09-30' and audt_execution_version='ACM2' 
and cncm_type_of_intervention = '01') mccp
join
(select customer_id, coalesce(worst_6m_status_mort_CAIS_sp, -999999) as worst_6m_status_mort_CAIS_sp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</si>
  <si>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ndhac09_min</t>
  </si>
  <si>
    <t>select 
date_processed, 
audt_execution_version,
count(*),
count(case when ndhac09_min= ndhac09_min_test2 then 1 end ) as match,
count(case when ndhac09_min&lt;&gt; ndhac09_min_test2 then 1 end ) as NO_match,
count(case when ndhac09_min is null and  ndhac09_min_test2 is null then 1 end ) as both_null,
count(case when ndhac09_min is null and  ndhac09_min_test2 is not null then 1 end ) as src_is_null_test_is_not_null,
count(case when ndhac09_min is not null and  ndhac09_min_test2 is null then 1 end ) as src_is_not_null_test_is_null
from
(select drv.date_processed, drv.audt_execution_version, cntr_contract_id, contract_source_system, ndhac09_min, 
case when ndhac09_min_test is null then -999999 else ndhac09_min_test end as ndhac09_min_test2
from
(select * from exp_capital_team.main_upl_driver_pra
where date_processed='2024-09-30' and audt_execution_version='ACM2') drv
left outer join
(select cncm_contract_id, worst_6m_status_mort_CAIS_sp2_min,worst_6m_status_mort_CAIS_sp1_max, 
case when worst_6m_status_mort_CAIS_sp2_min is not null then worst_6m_status_mort_CAIS_sp2_min
when worst_6m_status_mort_CAIS_sp1_max is not null then worst_6m_status_mort_CAIS_sp1_max
else -999999 end as ndhac09_min_test
from
(select cncm_contract_id, max(worst_6m_status_mort_CAIS_sp1) as worst_6m_status_mort_CAIS_sp1_max, 
min(worst_6m_status_mort_CAIS_sp2) as worst_6m_status_mort_CAIS_sp2_min
from
(select * from multi_entity_capital_enriched.main_customer_contract_partitions
where date_processed='2024-09-30' and audt_execution_version='ACM2' 
and cncm_type_of_intervention = '01') mccp
join
(select customer_id, coalesce(worst_6m_status_mort_CAIS_sp,-999999) as worst_6m_status_mort_CAIS_sp1  
from multi_entity_customer_enriched.bureau_reference_partitions
where date_processed='2024-09-30' and source_system = 'experianv11') brp1
on mccp.cncm_customer_id = brp1.customer_id
left outer join
(select customer_id, coalesce(worst_6m_status_mort_CAIS_sp,-999999) as worst_6m_status_mort_CAIS_sp2  
from multi_entity_customer_enriched.bureau_reference_partitions
where date_processed='2024-09-30' and source_system = 'experianv11' 
and coalesce(worst_6m_status_mort_CAIS_sp,-999999) not in (0, -1, -999999)) brp2
on brp1.customer_id = brp2.customer_id
group by cncm_contract_id) a) delphi
on delphi.cncm_contract_id = drv.cntr_contract_id) src
group by date_processed, audt_execution_version;</t>
  </si>
  <si>
    <t>ndspcii_max</t>
  </si>
  <si>
    <t>select 
date_processed, 
audt_execution_version,
count(*),
count(case when ndspcii_max= ndspcii_max_test2 then 1 end ) as match,
count(case when ndspcii_max&lt;&gt; ndspcii_max_test2 then 1 end ) as NO_match,
count(case when ndspcii_max is null and  ndspcii_max_test2 is null then 1 end ) as both_null,
count(case when ndspcii_max is null and  ndspcii_max_test2 is not null then 1 end ) as src_is_null_test_is_not_null,
count(case when ndspcii_max is not null and  ndspcii_max_test2 is null then 1 end ) as src_is_not_null_test_is_null
from
(select drv.date_processed, drv.audt_execution_version, cntr_contract_id, contract_source_system, ndspcii_max, 
case when ndspcii_max_test is null then -999999 else ndspcii_max_test end as ndspcii_max_test2
from
(select * from exp_capital_team.main_upl_driver_pra
where date_processed='2024-09-30' and audt_execution_version='ACM2') drv
left outer join
(select cncm_contract_id, max(indebtedness_index_sp) as ndspcii_max_test
from
(select * from multi_entity_capital_enriched.main_customer_contract_partitions
where date_processed='2024-09-30' and audt_execution_version='ACM2' 
and cncm_type_of_intervention = '01') mccp
join
(select customer_id, coalesce(indebtedness_index_sp, -999999) as indebtedness_index_sp  
from multi_entity_customer_enriched.bureau_reference_partitions
where date_processed='2024-09-30' and source_system = 'experianv11') brp
on mccp.cncm_customer_id = brp.customer_id
group by cncm_contract_id) delphi
on delphi.cncm_contract_id = drv.cntr_contract_id) src
group by date_processed, audt_execution_version;</t>
  </si>
  <si>
    <t>select 
date_processed, 
audt_execution_version,
count(*),
count(case when application_score= application_score_test then 1 end ) as match,
count(case when application_score&lt;&gt; application_score_test then 1 end ) as NO_match,
count(case when application_score is null and  application_score_test is null then 1 end ) as both_null,
count(case when application_score is null and  application_score_test is not null then 1 end ) as src_is_null_test_is_not_null,
count(case when application_score is not null and  application_score_test is null then 1 end ) as src_is_not_null_test_is_null
from
(select src.*, 
case when alp.risk_score is null or length(alp.risk_score) = 0 then 0 else cast(alp.risk_score as decimal) end as application_score_test 
from
(select * from exp_capital_team.main_upl_driver_pra
where date_processed='2024-09-30' and audt_execution_version='ACM2') src
left outer join
(select * from exp_capital_team.application_loan_partitions_2876
where date_processed = '2024-09-30' and source_system = 'PARTENON_RETAIL') alp
on src.cntr_contract_id = alp.contract_id) srcalp
group by date_processed, audt_execution_version;</t>
  </si>
  <si>
    <t>select 
date_processed, 
audt_execution_version,
count(*),
count(case when application_score_id= application_score_id_test then 1 end ) as match,
count(case when application_score_id&lt;&gt; application_score_id_test then 1 end ) as NO_match,
count(case when application_score_id is null and  application_score_id_test is null then 1 end ) as both_null,
count(case when application_score_id is null and  application_score_id_test is not null then 1 end ) as src_is_null_test_is_not_null,
count(case when application_score_id is not null and  application_score_id_test is null then 1 end ) as src_is_not_null_test_is_null
from
(select src.*, 
case when alp.risk_scorecard_id is null or length(alp.risk_scorecard_id) = 0 then 0 else cast(alp.risk_scorecard_id as decimal) end as application_score_id_test 
from
(select * from exp_capital_team.main_upl_driver_pra
where date_processed='2024-09-30' and audt_execution_version='ACM2') src
left outer join
(select * from exp_capital_team.application_loan_partitions_2876
where date_processed = '2024-09-30' and source_system = 'PARTENON_RETAIL') alp
on src.cntr_contract_id = alp.contract_id) srcalp
group by date_processed, audt_execution_version;</t>
  </si>
  <si>
    <t>arrears_history_cde</t>
  </si>
  <si>
    <t>select 
date_processed, 
audt_execution_version,
count(*),
count(case when arrears_history_cde= arrears_history_cde_test then 1 end ) as match,
count(case when arrears_history_cde&lt;&gt; arrears_history_cde_test then 1 end ) as NO_match,
count(case when arrears_history_cde is null and  arrears_history_cde_test is null then 1 end ) as both_null,
count(case when arrears_history_cde is null and  arrears_history_cde_test is not null then 1 end ) as src_is_null_test_is_not_null,
count(case when arrears_history_cde is not null and  arrears_history_cde_test is null then 1 end ) as src_is_not_null_test_is_null
from
(select upldrv.date_processed, upldrv.audt_execution_version, upldrv.cntr_contract_id, upldrv.contract_source_system, upldrv.arrears_history_cde, case when loandpd.arrears_history_cde is null then upldrv.arrears_history_cde else loandpd.arrears_history_cde end as arrears_history_cde_test 
from
(select * from exp_capital_team.main_upl_driver_pra
where date_processed='2024-09-30' and audt_execution_version='ACM2') upldrv
inner join
(select * from exp_capital_team.contract_loan_dpd_month_partitions
where date_processed = '2024-09-30') loandpd
on upldrv.cntr_contract_id = loandpd.contract_id) src
group by date_processed, audt_execution_version;</t>
  </si>
  <si>
    <t>application_input_date</t>
  </si>
  <si>
    <t>select 
date_processed, 
audt_execution_version,
count(*),
count(case when application_input_date = application_input_date_test2 then 1 end ) as match,
count(case when application_input_date &lt;&gt; application_input_date_test2 then 1 end ) as NO_match,
count(case when application_input_date is null and  application_input_date_test2 is null then 1 end ) as both_null,
count(case when application_input_date is null and  application_input_date_test2 is not null then 1 end ) as src_is_null_test_is_not_null,
count(case when application_input_date is not null and  application_input_date_test2 is null then 1 end ) as src_is_not_null_test_is_null
from
(select src.*, 
alpirbhldg.application_input_date_test as application_input_date_test2
from
(select * from exp_capital_team.main_upl_driver_pra
where date_processed='2024-09-30' and audt_execution_version='ACM2') src
left outer join
(select alp.*, 
case when alp.contract_id is null or length(contract_id) = 0 then contract_id_tgt else alp.contract_id end as contract_id_new,
case when source_system is null or length(source_system) = 0 then 'PARTENON_RETAIL' else source_system end as cntr_source_system,
case when alp.application_score_date is null or length(alp.application_score_date) = 0 or alp.application_score_date &lt; '2018-01-01'
then irbhldg.application_input_date 
else 
concat(from_timestamp(application_score_date,'yyyy-MM-dd'),' 00:00:00.0') end as application_input_date_test
from
(select * from exp_capital_team.application_loan_partitions_2876
where date_processed = '2024-09-30') alp
full outer join
(select contract_id as contract_id_tgt, replace(hldg_ref.holding_reference, ' ','') as holding_reference, application_input_date
from
(select
holding_reference, application_input_date, application_score, loan_term, original_loan_amt, monthly_repayment_amt
from retail_capital.upl_irb_hldg_drvr
where date_processed = '2019-10-31') uihd
left outer join
(select * from 
(select contract_id, source_system, concat(sort_code,' ',account_number) as holding_reference
from retail_contracts_enriched.contract_loan_partitions
where date_processed='2024-09-30' and source_system = 'PARTENON_RETAIL'
and sort_code IS NOT NULL AND account_number IS NOT NULL
union all
select contract_id, source_system, contract_id as holding_reference
from retail_contracts_enriched.contract_credit_card_partitions
where date_processed='2024-09-30'
and source_system = 'PARTENON_RETAIL'
union all
select contract_id, source_system, account_reference as holding_reference
from retail_contracts_enriched.contract_account_partitions
where date_processed='2024-09-30'
and account_reference IS NOT NULL 
union all
select contract_id, source_system, 
CASE WHEN source_system = 'ANMF' THEN concat(source_system,regexp_replace(ltrim(regexp_replace(contract_id,'0',' ')),' ','0'))
      WHEN source_system = 'PARTENON_RETAIL' THEN account_reference
      WHEN source_system = 'UFSS' THEN concat(source_system,account_number)
      ELSE contract_id  END as holding_reference
from retail_contracts_enriched.contract_mortgage_partitions
where date_processed='2024-09-30'
union all
select contract_id, source_system, holding_reference
from multi_entity_contracts_enriched.holding_cross_reference_partitions
where date_processed='2024-09-30'
and source_system&lt;&gt;'PARTENON_RETAIL') uni ) hldg_ref
on uihd.holding_reference = hldg_ref.holding_reference) irbhldg 
on irbhldg.holding_reference= alp.account_reference) alpirbhldg
on src.cntr_contract_id = alpirbhldg.contract_id_new and alpirbhldg.cntr_source_system = src.contract_source_system
where alpirbhldg.contract_id_new is not null) srcalp
group by date_processed, audt_execution_version;</t>
  </si>
  <si>
    <t>select 
date_processed, 
audt_execution_version,
count(*),
count(case when risk_score= risk_score_test then 1 end ) as match,
count(case when risk_score&lt;&gt; risk_score_test then 1 end ) as NO_match,
count(case when risk_score is null and  risk_score_test is null then 1 end ) as both_null,
count(case when risk_score is null and  risk_score_test is not null then 1 end ) as src_is_null_test_is_not_null,
count(case when risk_score is not null and  risk_score_test is null then 1 end ) as src_is_not_null_test_is_null
from
(select src.*, 
cast(alp.risk_score as decimal) as risk_score_test 
from
(select * from exp_capital_team.main_upl_driver_pra
where date_processed='2024-09-30' and audt_execution_version='ACM2') src
left outer join
(select * from exp_capital_team.application_loan_partitions_2876
where date_processed = '2024-09-30' and source_system = 'PARTENON_RETAIL') alp
on src.cntr_contract_id = alp.contract_id) srcalp
group by date_processed, audt_execution_version;</t>
  </si>
  <si>
    <t>select 
date_processed, 
audt_execution_version,
count(*),
count(case when risk_scorecard_id= risk_scorecard_id_test then 1 end ) as match,
count(case when risk_scorecard_id&lt;&gt; risk_scorecard_id_test then 1 end ) as NO_match,
count(case when risk_scorecard_id is null and  risk_scorecard_id_test is null then 1 end ) as both_null,
count(case when risk_scorecard_id is null and  risk_scorecard_id_test is not null then 1 end ) as src_is_null_test_is_not_null,
count(case when risk_scorecard_id is not null and  risk_scorecard_id_test is null then 1 end ) as src_is_not_null_test_is_null
from
(select src.*, 
cast(alp.risk_scorecard_id as decimal) as risk_scorecard_id_test 
from
(select * from exp_capital_team.main_upl_driver_pra
where date_processed='2024-09-30' and audt_execution_version='ACM2') src
left outer join
(select * from exp_capital_team.application_loan_partitions_2876
where date_processed = '2024-09-30' and source_system = 'PARTENON_RETAIL') alp
on src.cntr_contract_id = alp.contract_id) srcalp
group by date_processed, audt_execution_version;</t>
  </si>
  <si>
    <t>interest_rate</t>
  </si>
  <si>
    <t>select 
date_processed, 
audt_execution_version,
count(*),
count(case when interest_rate= interest_rate_test then 1 end ) as match,
count(case when interest_rate&lt;&gt; interest_rate_test then 1 end ) as NO_match,
count(case when interest_rate is null and  interest_rate_test is null then 1 end ) as both_null,
count(case when interest_rate is null and  interest_rate_test is not null then 1 end ) as src_is_null_test_is_not_null,
count(case when interest_rate is not null and  interest_rate_test is null then 1 end ) as src_is_not_null_test_is_null
from
(select drv.date_processed, drv.audt_execution_version, interest_rate, coalesce(preso_tasa,0) as interest_rate_test from
(select * from exp_capital_team.main_upl_driver_pra
where date_processed = '2024-09-30' and audt_execution_version='ACM2')drv
left outer join
(select * from
(select *, row_number() over(partition by contract_id order by contract_id, date_processed, preso_fecmodf desc) as r_num from
(select distinct 
concat(preso_idempr,preso_cdcentr,preso_idprod,preso_idcontr) as contract_id, 
round(preso_tasa,3) as preso_tasa, 
preso_fecmodf, date_processed 
from retail_loans.prepart_prestam_partitions
where date_processed = '2024-09-30' and
preso_fefinval&gt; '2024-09-30' and  preso_fecomval &lt;= '2024-09-30' and 
preso_tasa is not null and preso_tasa !=0) input1 ) input2
where r_num = 1) input3
on drv.cntr_contract_id = input3.contract_id) final
group by date_processed, audt_execution_version</t>
  </si>
  <si>
    <t>T01 - prod_retail_capital_enriched.main_upl_model_partitions regression with production data (ACM2)</t>
  </si>
  <si>
    <t>segment_count</t>
  </si>
  <si>
    <t>pd_irb_char1_score_count</t>
  </si>
  <si>
    <t>pd_irb_char2_score_count</t>
  </si>
  <si>
    <t>pd_irb_char3_score_count</t>
  </si>
  <si>
    <t>pd_irb_char4_score_count</t>
  </si>
  <si>
    <t>pd_irb_char5_score_count</t>
  </si>
  <si>
    <t>pd_irb_char6_score_count</t>
  </si>
  <si>
    <t>pd_irb_char7_score_count</t>
  </si>
  <si>
    <t>pd_irb_char8_score_count</t>
  </si>
  <si>
    <t>pd_irb_char9_score_count</t>
  </si>
  <si>
    <t>pd_irb_char10_score_count</t>
  </si>
  <si>
    <t>pd_irb_char11_score_count</t>
  </si>
  <si>
    <t>pd_irb_char12_score_count</t>
  </si>
  <si>
    <t>pd_irb_char13_score_count</t>
  </si>
  <si>
    <t>pd_irb_char14_score_count</t>
  </si>
  <si>
    <t>pd_irb_char15_score_count</t>
  </si>
  <si>
    <t>pd_irb_char16_score_count</t>
  </si>
  <si>
    <t>pd_score_count</t>
  </si>
  <si>
    <t>pd_segment_count</t>
  </si>
  <si>
    <t>calc_pd_fctr_count</t>
  </si>
  <si>
    <t>pd_grade_id_count</t>
  </si>
  <si>
    <t>pd_ttc_count</t>
  </si>
  <si>
    <t>ead_seg_count</t>
  </si>
  <si>
    <t>ead_count</t>
  </si>
  <si>
    <t>ead_floored_count</t>
  </si>
  <si>
    <t>lgd_pd12_count</t>
  </si>
  <si>
    <t>lgd_pwo12_count</t>
  </si>
  <si>
    <t>lgd_pwoe_count</t>
  </si>
  <si>
    <t>lgd_pwod_count</t>
  </si>
  <si>
    <t>lgd_exloss_count</t>
  </si>
  <si>
    <t>lgd_severity_count</t>
  </si>
  <si>
    <t>lgd_ttc_count</t>
  </si>
  <si>
    <t>lgd_floored_count</t>
  </si>
  <si>
    <t>audt_process_status_count</t>
  </si>
  <si>
    <t>select
tgt.date_processed as date_processed,
tgt.audt_execution_version as audt_execution_version,
count(src.cntr_contract_id) src_cntr_contract_idcount,
count(tgt.cntr_contract_id) tgt_cntr_contract_idcount,
count(src.cntr_contract_id)-sum(case when (src.cntr_contract_id = tgt.cntr_contract_id) or (src.cntr_contract_id is null and tgt.cntr_contract_id  is null ) then 1 else 0 end) cntr_contract_id_count,
count(src.cntr_contract_id)-sum(case when (src.holding_reference = tgt.holding_reference) or (src.holding_reference is null and tgt.holding_reference  is null ) then 1 else 0 end) holding_reference_count,
count(src.cntr_contract_id)-sum(case when (src.contract_source_system = tgt.contract_source_system) or (src.contract_source_system is null and tgt.contract_source_system  is null ) then 1 else 0 end) contract_source_system_count,
count(src.cntr_contract_id)-sum(case when (src.segment = tgt.segment) or (src.segment is null and tgt.segment  is null ) then 1 else 0 end) segment_count,
count(src.cntr_contract_id)-sum(case when (src.pd_irb_char1_score = tgt.pd_irb_char1_score) or (src.pd_irb_char1_score is null and tgt.pd_irb_char1_score  is null ) then 1 else 0 end) pd_irb_char1_score_count,
count(src.cntr_contract_id)-sum(case when (src.pd_irb_char2_score = tgt.pd_irb_char2_score) or (src.pd_irb_char2_score is null and tgt.pd_irb_char2_score  is null ) then 1 else 0 end) pd_irb_char2_score_count,
count(src.cntr_contract_id)-sum(case when (src.pd_irb_char3_score = tgt.pd_irb_char3_score) or (src.pd_irb_char3_score is null and tgt.pd_irb_char3_score  is null ) then 1 else 0 end) pd_irb_char3_score_count,
count(src.cntr_contract_id)-sum(case when (src.pd_irb_char4_score = tgt.pd_irb_char4_score) or (src.pd_irb_char4_score is null and tgt.pd_irb_char4_score  is null ) then 1 else 0 end) pd_irb_char4_score_count,
count(src.cntr_contract_id)-sum(case when (src.pd_irb_char5_score = tgt.pd_irb_char5_score) or (src.pd_irb_char5_score is null and tgt.pd_irb_char5_score  is null ) then 1 else 0 end) pd_irb_char5_score_count,
count(src.cntr_contract_id)-sum(case when (src.pd_irb_char6_score = tgt.pd_irb_char6_score) or (src.pd_irb_char6_score is null and tgt.pd_irb_char6_score  is null ) then 1 else 0 end) pd_irb_char6_score_count,
count(src.cntr_contract_id)-sum(case when (src.pd_irb_char7_score = tgt.pd_irb_char7_score) or (src.pd_irb_char7_score is null and tgt.pd_irb_char7_score  is null ) then 1 else 0 end) pd_irb_char7_score_count,
count(src.cntr_contract_id)-sum(case when (src.pd_irb_char8_score = tgt.pd_irb_char8_score) or (src.pd_irb_char8_score is null and tgt.pd_irb_char8_score  is null ) then 1 else 0 end) pd_irb_char8_score_count,
count(src.cntr_contract_id)-sum(case when (src.pd_irb_char9_score = tgt.pd_irb_char9_score) or (src.pd_irb_char9_score is null and tgt.pd_irb_char9_score  is null ) then 1 else 0 end) pd_irb_char9_score_count,
count(src.cntr_contract_id)-sum(case when (src.pd_irb_char10_score = tgt.pd_irb_char10_score) or (src.pd_irb_char10_score is null and tgt.pd_irb_char10_score  is null ) then 1 else 0 end) pd_irb_char10_score_count,
count(src.cntr_contract_id)-sum(case when (src.pd_irb_char11_score = tgt.pd_irb_char11_score) or (src.pd_irb_char11_score is null and tgt.pd_irb_char11_score  is null ) then 1 else 0 end) pd_irb_char11_score_count,
count(src.cntr_contract_id)-sum(case when (src.pd_irb_char12_score = tgt.pd_irb_char12_score) or (src.pd_irb_char12_score is null and tgt.pd_irb_char12_score  is null ) then 1 else 0 end) pd_irb_char12_score_count,
count(src.cntr_contract_id)-sum(case when (src.pd_irb_char13_score = tgt.pd_irb_char13_score) or (src.pd_irb_char13_score is null and tgt.pd_irb_char13_score  is null ) then 1 else 0 end) pd_irb_char13_score_count,
count(src.cntr_contract_id)-sum(case when (src.pd_irb_char14_score = tgt.pd_irb_char14_score) or (src.pd_irb_char14_score is null and tgt.pd_irb_char14_score  is null ) then 1 else 0 end) pd_irb_char14_score_count,
count(src.cntr_contract_id)-sum(case when (src.pd_irb_char15_score = tgt.pd_irb_char15_score) or (src.pd_irb_char15_score is null and tgt.pd_irb_char15_score  is null ) then 1 else 0 end) pd_irb_char15_score_count,
count(src.cntr_contract_id)-sum(case when (src.pd_irb_char16_score = tgt.pd_irb_char16_score) or (src.pd_irb_char16_score is null and tgt.pd_irb_char16_score  is null ) then 1 else 0 end) pd_irb_char16_score_count,
count(src.cntr_contract_id)-sum(case when (src.pd_score = tgt.pd_score) or (src.pd_score is null and tgt.pd_score  is null ) then 1 else 0 end) pd_score_count,
count(src.cntr_contract_id)-sum(case when (src.pd_segment = tgt.pd_segment) or (src.pd_segment is null and tgt.pd_segment  is null ) then 1 else 0 end) pd_segment_count,
count(src.cntr_contract_id)-sum(case when (src.calc_pd_fctr = tgt.calc_pd_fctr) or (src.calc_pd_fctr is null and tgt.calc_pd_fctr  is null ) then 1 else 0 end) calc_pd_fctr_count,
count(src.cntr_contract_id)-sum(case when (src.pd_grade_id = tgt.pd_grade_id) or (src.pd_grade_id is null and tgt.pd_grade_id  is null ) then 1 else 0 end) pd_grade_id_count,
count(src.cntr_contract_id)-sum(case when (src.pd_ttc = tgt.pd_ttc) or (src.pd_ttc is null and tgt.pd_ttc  is null ) then 1 else 0 end) pd_ttc_count,
count(src.cntr_contract_id)-sum(case when (src.ead_seg = tgt.ead_seg) or (src.ead_seg is null and tgt.ead_seg  is null ) then 1 else 0 end) ead_seg_count,
count(src.cntr_contract_id)-sum(case when (src.ead = tgt.ead) or (src.ead is null and tgt.ead  is null ) then 1 else 0 end) ead_count,
count(src.cntr_contract_id)-sum(case when (src.ead_floored = tgt.ead_floored) or (src.ead_floored is null and tgt.ead_floored  is null ) then 1 else 0 end) ead_floored_count,
count(src.cntr_contract_id)-sum(case when (src.lgd_pd12 = tgt.lgd_pd12) or (src.lgd_pd12 is null and tgt.lgd_pd12  is null ) then 1 else 0 end) lgd_pd12_count,
count(src.cntr_contract_id)-sum(case when (src.lgd_pwo12 = tgt.lgd_pwo12) or (src.lgd_pwo12 is null and tgt.lgd_pwo12  is null ) then 1 else 0 end) lgd_pwo12_count,
count(src.cntr_contract_id)-sum(case when (src.lgd_pwoe = tgt.lgd_pwoe) or (src.lgd_pwoe is null and tgt.lgd_pwoe  is null ) then 1 else 0 end) lgd_pwoe_count,
count(src.cntr_contract_id)-sum(case when (src.lgd_pwod = tgt.lgd_pwod) or (src.lgd_pwod is null and tgt.lgd_pwod  is null ) then 1 else 0 end) lgd_pwod_count,
count(src.cntr_contract_id)-sum(case when (src.lgd_exloss = tgt.lgd_exloss) or (src.lgd_exloss is null and tgt.lgd_exloss  is null ) then 1 else 0 end) lgd_exloss_count,
count(src.cntr_contract_id)-sum(case when (src.lgd_severity = tgt.lgd_severity) or (src.lgd_severity is null and tgt.lgd_severity  is null ) then 1 else 0 end) lgd_severity_count,
count(src.cntr_contract_id)-sum(case when (src.lgd_ttc = tgt.lgd_ttc) or (src.lgd_ttc is null and tgt.lgd_ttc  is null ) then 1 else 0 end) lgd_ttc_count,
count(src.cntr_contract_id)-sum(case when (src.lgd_floored = tgt.lgd_floored) or (src.lgd_floored is null and tgt.lgd_floored  is null ) then 1 else 0 end) lgd_floored_count,
count(src.cntr_contract_id)-sum(case when (src.audt_process_status = tgt.audt_process_status) or (src.audt_process_status is null and tgt.audt_process_status  is null ) then 1 else 0 end) audt_process_status_count,
count(src.cntr_contract_id)-sum(case when (src.audt_process_timestamp = tgt.audt_process_timestamp) or (src.audt_process_timestamp is null and tgt.audt_process_timestamp  is null ) then 1 else 0 end) audt_process_timestamp_count,
count(src.cntr_contract_id)-sum(case when (src.software_version = tgt.software_version) or (src.software_version is null and tgt.software_version  is null ) then 1 else 0 end) software_version_count,
count(src.cntr_contract_id)-sum(case when (src.date_processed = tgt.date_processed) or (src.date_processed is null and tgt.date_processed  is null ) then 1 else 0 end) date_processed_count,
count(src.cntr_contract_id)-sum(case when (src.audt_execution_version = tgt.audt_execution_version) or (src.audt_execution_version is null and tgt.audt_execution_version  is null ) then 1 else 0 end) audt_execution_version_count
from
(select * from prod_retail_capital_enriched.main_upl_model_partitions
where date_processed='2024-09-30' and audt_execution_version='ACM2') src
full outer join
(select * from prod_retail_capital_enriched.main_upl_model_partitions
where date_processed='2024-09-30' and audt_execution_version='MCM4') tgt
on src.cntr_contract_id = tgt.cntr_contract_id and src.contract_source_system = tgt.contract_source_system
group by tgt.date_processed, tgt.audt_execution_version;</t>
  </si>
  <si>
    <t>Expected due to change in driver DCM fields</t>
  </si>
  <si>
    <t>Expected due to change in driver</t>
  </si>
  <si>
    <t>Expected due to change in calc_pd_fctr</t>
  </si>
  <si>
    <t>Expected due to change in pd_grade_id</t>
  </si>
  <si>
    <t>Expected due to change in ead_seg</t>
  </si>
  <si>
    <t>Expected due to change in ead</t>
  </si>
  <si>
    <t>Expected due to change in lgd_pd12, lgd_pwo12</t>
  </si>
  <si>
    <t>122 differences are found (rounding issue)</t>
  </si>
  <si>
    <t>Expected due to change in ead, lgd_exloss</t>
  </si>
  <si>
    <t>Expected due to change in lgd_severity, lgd_pwod</t>
  </si>
  <si>
    <t>Segment</t>
  </si>
  <si>
    <t>select 
date_processed, 
audt_execution_version,
count(*),
count(case when segment= segment_test then 1 end ) as match,
count(case when segment&lt;&gt; segment_test then 1 end ) as NO_match,
count(case when segment is null and  segment_test is null then 1 end ) as both_null,
count(case when segment is null and  segment_test is not null then 1 end ) as src_is_null_test_is_not_null,
count(case when segment is not null and  segment_test is null then 1 end ) as src_is_not_null_test_is_null
from
(select irb.date_processed, irb.audt_execution_version, irb.cntr_contract_id, irb.contract_source_system, segment,  
case when 
((worst_mths_arrears_l12m_imd is not null and worst_mths_arrears_l12m_imd &gt;=1) or
(e1b07_max is not  null and (e1b07_max in ('2', '3', '4', '5', '6'))) or
(e1a03_min is not null and (e1a03_min in (1,2,3,4,5,6))) or
(e1a06_min is not null &amp;&amp; (e1a06_min in (1,2,3,4,5,6))))
then 'UNCLEAN' else 'CLEAN' end as segment_test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</si>
  <si>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pd_irb_char1_score</t>
  </si>
  <si>
    <t>select 
date_processed, 
audt_execution_version,
count(*),
count(case when pd_irb_char1_score= pd_irb_char1_score_test then 1 end ) as match,
count(case when pd_irb_char1_score&lt;&gt; pd_irb_char1_score_test then 1 end ) as NO_match,
count(case when pd_irb_char1_score is null and  pd_irb_char1_score_test is null then 1 end ) as both_null,
count(case when pd_irb_char1_score is null and  pd_irb_char1_score_test is not null then 1 end ) as src_is_null_test_is_not_null,
count(case when pd_irb_char1_score is not null and  pd_irb_char1_score_test is null then 1 end ) as src_is_not_null_test_is_null
from
(select irb.date_processed, irb.audt_execution_version, irb.cntr_contract_id, irb.contract_source_system, pd_irb_char1_score,  
case when segment = 'CLEAN' then
case
when e1a10_max is null then 9
when e1a10_max = -999999 then 39
when e1a10_max = -1 then 39
when e1a10_max = 0 then 40
when e1a10_max = 1 then 25
when e1a10_max &gt; 1 then 9
else 9 end
else
case
when days_past_due_mnths is null then -20
when days_past_due_mnths = 0 then 81
when days_past_due_mnths &gt; 0 and days_past_due_mnths &lt;= 0.5 then 51
when days_past_due_mnths &gt; 0.5 and days_past_due_mnths &lt;= 1 then 35
when days_past_due_mnths &gt; 1 and days_past_due_mnths &lt;= 1.79 then 19
when days_past_due_mnths &gt; 1.79 and days_past_due_mnths &lt;= 2.49 then 0
when days_past_due_mnths &gt; 2.49 and days_past_due_mnths &lt;= 3 then -20
when days_past_due_mnths &gt; 3 or days_past_due_mnths &lt; 0 then -20
else 81 end end as pd_irb_char1_score_test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</si>
  <si>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pd_irb_char2_score</t>
  </si>
  <si>
    <t>select 
date_processed, 
audt_execution_version,
count(*),
count(case when pd_irb_char2_score= pd_irb_char2_score_test then 1 end ) as match,
count(case when pd_irb_char2_score&lt;&gt; pd_irb_char2_score_test then 1 end ) as NO_match,
count(case when pd_irb_char2_score is null and  pd_irb_char2_score_test is null then 1 end ) as both_null,
count(case when pd_irb_char2_score is null and  pd_irb_char2_score_test is not null then 1 end ) as src_is_null_test_is_not_null,
count(case when pd_irb_char2_score is not null and  pd_irb_char2_score_test is null then 1 end ) as src_is_not_null_test_is_null
from
(select irb.date_processed, irb.audt_execution_version, irb.cntr_contract_id, irb.contract_source_system, pd_irb_char2_score,  
case when segment = 'CLEAN' then
case
when e1b10_min is null then 26
when e1b10_min = -999999 or e1b10_min = -1 then 39
when e1b10_min = 0 then 31
when e1b10_min &gt;= 1 and e1b10_min &lt;= 4 then 38
when e1b10_min &gt; 4 and e1b10_min &lt;= 29 then 44
when e1b10_min &gt; 29 and e1b10_min &lt;= 49 then 47
when e1b10_min &gt; 49 and e1b10_min &lt;= 107 then 43
when e1b10_min &gt; 107 and e1b10_min &lt;= 160 then 38
when e1b10_min &gt; 160 and e1b10_min &lt;= 206 then 34
when e1b10_min &gt; 206 and e1b10_min &lt;= 479 then 31
when e1b10_min &gt; 479 then 26
else 26 end
else
case
when e1a06_max is null or e1a06_max = 1 then 38
when e1a06_max = -999999 or e1a06_max = -1 then 43
when e1a06_max &gt; 1 and e1a06_max &lt;= 3 then 48
when e1a06_max &gt; 3 and e1a06_max &lt;= 24 then 52
when e1a06_max &gt; 24 or e1a06_max = 0 then 55
else 38 end end as pd_irb_char2_score_test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</si>
  <si>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pd_irb_char3_score</t>
  </si>
  <si>
    <t>select 
date_processed, 
audt_execution_version,
count(*),
count(case when pd_irb_char3_score= pd_irb_char3_score_test then 1 end ) as match,
count(case when pd_irb_char3_score&lt;&gt; pd_irb_char3_score_test then 1 end ) as NO_match,
count(case when pd_irb_char3_score is null and  pd_irb_char3_score_test is null then 1 end ) as both_null,
count(case when pd_irb_char3_score is null and  pd_irb_char3_score_test is not null then 1 end ) as src_is_null_test_is_not_null,
count(case when pd_irb_char3_score is not null and  pd_irb_char3_score_test is null then 1 end ) as src_is_not_null_test_is_null
from
(select irb.date_processed, irb.audt_execution_version, irb.cntr_contract_id, irb.contract_source_system, pd_irb_char3_score,  
case when segment = 'CLEAN' then
case
when e1b12_max is null then 8
when e1b12_max = -999999 or e1b12_max = -1 then 39
when e1b12_max = 0 then 40
when e1b12_max = 1 then 24
when e1b12_max &gt; 1 and e1b12_max &lt;= 9 then 8
else 8 end
else
case
when e1b10_min is null then 8
when e1b10_min = -999999 or e1b10_min = -1 then 41
when e1b10_min = 0 then 39
when e1b10_min &gt; 0 and e1b10_min &lt;= 9 then 49
when e1b10_min &gt; 9 and e1b10_min &lt;= 39 then 54
when e1b10_min &gt; 39 and e1b10_min &lt;= 99 then 58
when e1b10_min &gt; 99 and e1b10_min &lt;= 179 then 55
when e1b10_min &gt; 179 and e1b10_min &lt;= 299 then 50
when e1b10_min &gt; 299 then 46
else 39 end end as pd_irb_char3_score_test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</si>
  <si>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pd_irb_char4_score</t>
  </si>
  <si>
    <t>select 
date_processed, 
audt_execution_version,
count(*),
count(case when pd_irb_char4_score= pd_irb_char4_score_test then 1 end ) as match,
count(case when pd_irb_char4_score&lt;&gt; pd_irb_char4_score_test then 1 end ) as NO_match,
count(case when pd_irb_char4_score is null and  pd_irb_char4_score_test is null then 1 end ) as both_null,
count(case when pd_irb_char4_score is null and  pd_irb_char4_score_test is not null then 1 end ) as src_is_null_test_is_not_null,
count(case when pd_irb_char4_score is not null and  pd_irb_char4_score_test is null then 1 end ) as src_is_not_null_test_is_null
from
(select irb.date_processed, irb.audt_execution_version, irb.cntr_contract_id, irb.contract_source_system, pd_irb_char4_score,  
case when segment = 'CLEAN' then
case
when e4q04_max is null or e4q04_max = 0 then 34
when e4q04_max = -999999 or e4q04_max = -1 then 39
when e4q04_max &gt;= 1 and e4q04_max &lt;= 2 then 36
when e4q04_max &gt; 2 and e4q04_max &lt;= 9 then 40
when e4q04_max &gt; 9 then 44
else 34 end
else
case
when e1b12_min is null then 43
when e1b12_min = -999999 or e1b12_min = -1 then 49
when e1b12_min = 0 then 56
when e1b12_min = 1 then 51
when e1b12_min = 2 then 46
when e1b12_min &gt;= 3 and e1b12_min &lt;= 9 then 43
else 43 end end as pd_irb_char4_score_test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</si>
  <si>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pd_irb_char5_score</t>
  </si>
  <si>
    <t>select 
date_processed, 
audt_execution_version,
count(*),
count(case when pd_irb_char5_score= pd_irb_char5_score_test then 1 end ) as match,
count(case when pd_irb_char5_score&lt;&gt; pd_irb_char5_score_test then 1 end ) as NO_match,
count(case when pd_irb_char5_score is null and  pd_irb_char5_score_test is null then 1 end ) as both_null,
count(case when pd_irb_char5_score is null and  pd_irb_char5_score_test is not null then 1 end ) as src_is_null_test_is_not_null,
count(case when pd_irb_char5_score is not null and  pd_irb_char5_score_test is null then 1 end ) as src_is_not_null_test_is_null
from
(select irb.date_processed, irb.audt_execution_version, irb.cntr_contract_id, irb.contract_source_system, pd_irb_char5_score,  
case when segment = 'CLEAN' then
case
when ea1e02_min is null then -1
when ea1e02_min = 0 then 44
when ea1e02_min = -999999 then 38
when ea1e02_min = -1 then 38
when ea1e02_min = 1 then 39
when ea1e02_min = 2 then 32
when ea1e02_min = 3 then 27
when ea1e02_min = 4 then 19
when ea1e02_min = 5 then 11
when ea1e02_min &gt; 5 and ea1e02_min &gt;= 9 then -1
else -1 end
else
case
when ea1e02_min is null then 16
when ea1e02_min = -999999 or ea1e02_min = -1 then 37
when ea1e02_min = 0 then 57
when ea1e02_min = 1 then 54
when ea1e02_min = 2 then 49
when ea1e02_min = 3 then 46
when ea1e02_min = 4 then 40
when ea1e02_min &gt; 4 and ea1e02_min &lt;= 7 then 35
when ea1e02_min &gt; 7 then 16
else 16 end end as pd_irb_char5_score_test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</si>
  <si>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pd_irb_char6_score</t>
  </si>
  <si>
    <t>select 
date_processed, 
audt_execution_version,
count(*),
count(case when pd_irb_char6_score= pd_irb_char6_score_test then 1 end ) as match,
count(case when pd_irb_char6_score&lt;&gt; pd_irb_char6_score_test then 1 end ) as NO_match,
count(case when pd_irb_char6_score is null and  pd_irb_char6_score_test is null then 1 end ) as both_null,
count(case when pd_irb_char6_score is null and  pd_irb_char6_score_test is not null then 1 end ) as src_is_null_test_is_not_null,
count(case when pd_irb_char6_score is not null and  pd_irb_char6_score_test is null then 1 end ) as src_is_not_null_test_is_null
from
(select irb.date_processed, irb.audt_execution_version, irb.cntr_contract_id, irb.contract_source_system, pd_irb_char6_score,  
case when segment = 'CLEAN' then
case
when ea5s01_min is null then 26
when ea5s01_min = -999999 then 38
when ea5s01_min = 0 then 38
when ea5s01_min &gt;= 18 and ea5s01_min &lt;= 23 then 26
when ea5s01_min &gt; 23 and ea5s01_min &lt;= 26 then 32
when ea5s01_min &gt; 26 and ea5s01_min &lt;= 39 then 36
when ea5s01_min &gt; 39 and ea5s01_min &lt;= 49 then 39
when ea5s01_min &gt; 49 then 43
else 26 end
else
case
when ndhac09_max is null then 44
when ndhac09_max = -999999 then 44
when ndhac09_max = -1 then 44
when ndhac09_max = 0 then 51
when ndhac09_max &gt; 0 and ndhac09_max &lt;= 4 then 60
when ndhac09_max &gt; 4 then 49
else 44 end end as pd_irb_char6_score_test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</si>
  <si>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pd_irb_char7_score</t>
  </si>
  <si>
    <t>select 
date_processed, 
audt_execution_version,
count(*),
count(case when pd_irb_char7_score= pd_irb_char7_score_test then 1 end ) as match,
count(case when pd_irb_char7_score&lt;&gt; pd_irb_char7_score_test then 1 end ) as NO_match,
count(case when pd_irb_char7_score is null and  pd_irb_char7_score_test is null then 1 end ) as both_null,
count(case when pd_irb_char7_score is null and  pd_irb_char7_score_test is not null then 1 end ) as src_is_null_test_is_not_null,
count(case when pd_irb_char7_score is not null and  pd_irb_char7_score_test is null then 1 end ) as src_is_not_null_test_is_null
from
(select irb.date_processed, irb.audt_execution_version, irb.cntr_contract_id, irb.contract_source_system, pd_irb_char7_score,  
case when segment = 'CLEAN' then
case
when maturity_days is null then 17
when maturity_days &lt; -1 and maturity_days &lt;= -1  then 17
when maturity_days &gt; -1 and maturity_days &lt;= 129 then 54
when maturity_days &gt; 129 and maturity_days &lt;= 779 then 43
when maturity_days &gt; 779 and maturity_days &lt;= 1059 then 37
when maturity_days &gt; 1059 then 34
else 17 end
else
case
when ndspcii_max is null then 43
when ndspcii_max = -999999 or ndspcii_max = 0 then 50
when ndspcii_max &gt; 0 and ndspcii_max &lt;= 3 then 60
when ndspcii_max &gt; 3 and ndspcii_max &lt;= 6 then 58
when ndspcii_max &gt; 6 and ndspcii_max &lt;= 12 then 56
when ndspcii_max &gt; 12 and ndspcii_max &lt;= 17 then 55
when ndspcii_max &gt; 17 and ndspcii_max &lt;= 37 then 54
when ndspcii_max &gt; 37 and ndspcii_max &lt;= 40 then 52
when ndspcii_max &gt; 40 and ndspcii_max &lt;= 45 then 51
when ndspcii_max &gt; 45 and ndspcii_max &lt;= 51 then 50
when ndspcii_max &gt; 51 and ndspcii_max &lt;= 57 then 48
when ndspcii_max &gt; 57 then 43
else 43 end end as pd_irb_char7_score_test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</si>
  <si>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pd_irb_char8_score</t>
  </si>
  <si>
    <t>select 
date_processed, 
audt_execution_version,
count(*),
count(case when pd_irb_char8_score= pd_irb_char8_score_test then 1 end ) as match,
count(case when pd_irb_char8_score&lt;&gt; pd_irb_char8_score_test then 1 end ) as NO_match,
count(case when pd_irb_char8_score is null and  pd_irb_char8_score_test is null then 1 end ) as both_null,
count(case when pd_irb_char8_score is null and  pd_irb_char8_score_test is not null then 1 end ) as src_is_null_test_is_not_null,
count(case when pd_irb_char8_score is not null and  pd_irb_char8_score_test is null then 1 end ) as src_is_not_null_test_is_null
from
(select irb.date_processed, irb.audt_execution_version, irb.cntr_contract_id, irb.contract_source_system, pd_irb_char8_score,  
case when segment = 'CLEAN' then
case
when mths_since_last_arrears_imd is null then 40
when mths_since_last_arrears_imd = 0  then -18
when mths_since_last_arrears_imd &gt; 0 and mths_since_last_arrears_imd &lt;= 12 then 10
else -18 end
else
case
when worst_mths_arrears_l12m_imd is null then 50
when worst_mths_arrears_l12m_imd = 0 then 57
when worst_mths_arrears_l12m_imd &gt; 0 and worst_mths_arrears_l12m_imd &lt;= 1 then 54
when worst_mths_arrears_l12m_imd &gt; 1 and worst_mths_arrears_l12m_imd &lt;= 1.75 then 53
when worst_mths_arrears_l12m_imd &gt; 1.75 and worst_mths_arrears_l12m_imd &lt;= 2.24 then 51
when worst_mths_arrears_l12m_imd &gt; 2.24 then 50
when worst_mths_arrears_l12m_imd &lt; 0 then 50
else 57 end end as pd_irb_char8_score_test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</si>
  <si>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pd_irb_char9_score</t>
  </si>
  <si>
    <t>select 
date_processed, 
audt_execution_version,
count(*),
count(case when pd_irb_char9_score= pd_irb_char9_score_test then 1 end ) as match,
count(case when pd_irb_char9_score&lt;&gt; pd_irb_char9_score_test then 1 end ) as NO_match,
count(case when pd_irb_char9_score is null and  pd_irb_char9_score_test is null then 1 end ) as both_null,
count(case when pd_irb_char9_score is null and  pd_irb_char9_score_test is not null then 1 end ) as src_is_null_test_is_not_null,
count(case when pd_irb_char9_score is not null and  pd_irb_char9_score_test is null then 1 end ) as src_is_not_null_test_is_null
from
(select irb.date_processed, irb.audt_execution_version, irb.cntr_contract_id, irb.contract_source_system, pd_irb_char9_score,  
case when segment = 'CLEAN' then
case
when ndecc02_max is null then 11
when ndecc02_max = -999999 or ndecc02_max = -1  then 39
when ndecc02_max = 0  then 32
when ndecc02_max &gt; 0 and ndecc02_max &lt;= 45 then 47
when ndecc02_max &gt; 45 and ndecc02_max &lt;= 132 then 38
when ndecc02_max &gt; 132 and ndecc02_max &lt;= 216 then 32
when ndecc02_max &gt; 216 and ndecc02_max &lt;= 296 then 28
when ndecc02_max &gt; 296 and ndecc02_max &lt;= 399 then 23
when ndecc02_max &gt; 399 and ndecc02_max &lt;= 610 then 20
when ndecc02_max &gt; 610 then 11
else 11 end
else
case
when max_bnkg_beh_score is null then 27
when max_bnkg_beh_score = -999999 then 53
when max_bnkg_beh_score = -9 or max_bnkg_beh_score = -8 then 27
when max_bnkg_beh_score = -7 then 55
when max_bnkg_beh_score &gt;= 0 and max_bnkg_beh_score &lt;= 529 then 27
when max_bnkg_beh_score &gt; 529 and max_bnkg_beh_score &lt;= 549 then 38
when max_bnkg_beh_score &gt; 549 and max_bnkg_beh_score &lt;= 569 then 43
when max_bnkg_beh_score &gt; 569 and max_bnkg_beh_score &lt;= 598 then 53
when max_bnkg_beh_score &gt; 598 and max_bnkg_beh_score &lt;= 614 then 60
when max_bnkg_beh_score &gt; 614 and max_bnkg_beh_score &lt;= 639 then 68
when max_bnkg_beh_score &gt; 639 then 79
else 27 end end as pd_irb_char9_score_test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</si>
  <si>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pd_irb_char10_score</t>
  </si>
  <si>
    <t>select 
date_processed, 
audt_execution_version,
count(*),
count(case when pd_irb_char10_score= pd_irb_char10_score_test then 1 end ) as match,
count(case when pd_irb_char10_score&lt;&gt; pd_irb_char10_score_test then 1 end ) as NO_match,
count(case when pd_irb_char10_score is null and  pd_irb_char10_score_test is null then 1 end ) as both_null,
count(case when pd_irb_char10_score is null and  pd_irb_char10_score_test is not null then 1 end ) as src_is_null_test_is_not_null,
count(case when pd_irb_char10_score is not null and  pd_irb_char10_score_test is null then 1 end ) as src_is_not_null_test_is_null
from
(select irb.date_processed, irb.audt_execution_version, irb.cntr_contract_id, irb.contract_source_system, pd_irb_char10_score,  
case when segment = 'CLEAN' then
case
when ndg02_min is null then 33
when ndg02_min = -999999 or ndg02_min = 0  then 39
when ndg02_min &gt; 0 and ndg02_min &lt;= 744 then 33
when ndg02_min &gt; 744 and ndg02_min &lt;= 812 then 38
when ndg02_min &gt; 812 and ndg02_min &lt;= 888 then 40
when ndg02_min &gt; 888 then 44
else 33 end
else
case
when e1b08_temp is null then 48
when e1b08_temp = -0.5 then 48
when e1b08_temp = -9 then 50
when e1b08_temp = -1 then 50
when e1b08_temp = 0.5 then 58
when e1b08_temp = 0 then 58
when e1b08_temp &gt;= 1 and e1b08_temp &lt;= 6 then 52
else 48 end end as pd_irb_char10_score_test
from
(select * from prod_retail_capital_enriched.main_upl_model_partitions
where date_processed='2024-09-30' and audt_execution_version='MCM4') irb
full outer join
(select *,
case 
when e1b08_max is null or e1b08_max = '' then -9
when e1b08_max = 'T' then  -1
when e1b08_max = 'N' then  -0.5
when e1b08_max = 'U' then  0.5
when regexp_like(e1b08_max,'^[+-]?[0-9]+(\.[0-9]+)?$') then cast(e1b08_max as DOUBLE) else 0 end as e1b08_temp
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</si>
  <si>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pd_irb_char11_score</t>
  </si>
  <si>
    <t>select 
date_processed, 
audt_execution_version,
count(*),
count(case when pd_irb_char11_score= pd_irb_char11_score_test then 1 end ) as match,
count(case when pd_irb_char11_score&lt;&gt; pd_irb_char11_score_test then 1 end ) as NO_match,
count(case when pd_irb_char11_score is null and  pd_irb_char11_score_test is null then 1 end ) as both_null,
count(case when pd_irb_char11_score is null and  pd_irb_char11_score_test is not null then 1 end ) as src_is_null_test_is_not_null,
count(case when pd_irb_char11_score is not null and  pd_irb_char11_score_test is null then 1 end ) as src_is_not_null_test_is_null
from
(select irb.date_processed, irb.audt_execution_version, irb.cntr_contract_id, irb.contract_source_system, pd_irb_char11_score,  
case when segment = 'CLEAN' then
case
when ndhac09_min is null then 12
when ndhac09_min = -999999 or ndhac09_min = -1  then 39
when ndhac09_min = 0 then 32
when ndhac09_min &gt; 0 and ndhac09_min &lt;= 4 then 48
when ndhac09_min &gt; 4 and ndhac09_min &lt;= 6 then 12
else 12 end
else 0 end as pd_irb_char11_score_test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</si>
  <si>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pd_irb_char12_score</t>
  </si>
  <si>
    <t>select 
date_processed, 
audt_execution_version,
count(*),
count(case when pd_irb_char12_score= pd_irb_char12_score_test then 1 end ) as match,
count(case when pd_irb_char12_score&lt;&gt; pd_irb_char12_score_test then 1 end ) as NO_match,
count(case when pd_irb_char12_score is null and  pd_irb_char12_score_test is null then 1 end ) as both_null,
count(case when pd_irb_char12_score is null and  pd_irb_char12_score_test is not null then 1 end ) as src_is_null_test_is_not_null,
count(case when pd_irb_char12_score is not null and  pd_irb_char12_score_test is null then 1 end ) as src_is_not_null_test_is_null
from
(select irb.date_processed, irb.audt_execution_version, irb.cntr_contract_id, irb.contract_source_system, pd_irb_char12_score,  
case when segment = 'CLEAN' then
case
when ndspcii_max is null then 32
when ndspcii_max = -999999 then 39
when ndspcii_max = 0 then 37
when ndspcii_max = 1 then 45
when ndspcii_max = 2 then 43
when ndspcii_max &gt; 2 and ndspcii_max &lt;= 4 then 41
when ndspcii_max &gt; 4 and ndspcii_max &lt;= 8 then 40
when ndspcii_max &gt; 8 and ndspcii_max &lt;= 10 then 39
when ndspcii_max &gt; 10 and ndspcii_max &lt;= 13 then 37
when ndspcii_max &gt; 13 and ndspcii_max &lt;= 18 then 36
when ndspcii_max &gt; 18 and ndspcii_max &lt;= 30 then 35
when ndspcii_max &gt; 30 and ndspcii_max &lt;= 37 then 34
when ndspcii_max &gt; 37 then 32
else 32 end
else 0 end as pd_irb_char12_score_test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</si>
  <si>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pd_irb_char13_score</t>
  </si>
  <si>
    <t>select 
date_processed, 
audt_execution_version,
count(*),
count(case when pd_irb_char13_score= pd_irb_char13_score_test then 1 end ) as match,
count(case when pd_irb_char13_score&lt;&gt; pd_irb_char13_score_test then 1 end ) as NO_match,
count(case when pd_irb_char13_score is null and  pd_irb_char13_score_test is null then 1 end ) as both_null,
count(case when pd_irb_char13_score is null and  pd_irb_char13_score_test is not null then 1 end ) as src_is_null_test_is_not_null,
count(case when pd_irb_char13_score is not null and  pd_irb_char13_score_test is null then 1 end ) as src_is_not_null_test_is_null
from
(select irb.date_processed, irb.audt_execution_version, irb.cntr_contract_id, irb.contract_source_system, pd_irb_char13_score,  
case when segment = 'CLEAN' then
case
when max_bnkg_beh_score is null then 6
when max_bnkg_beh_score = -999999 then 40
when max_bnkg_beh_score = -9 or max_bnkg_beh_score = -8 then 6
when max_bnkg_beh_score = -7 then 38
when max_bnkg_beh_score &gt;= 0 and max_bnkg_beh_score &lt;= 569 then 6
when max_bnkg_beh_score &gt; 569 and max_bnkg_beh_score &lt;= 590 then 14
when max_bnkg_beh_score &gt; 590 and max_bnkg_beh_score &lt;= 609 then 21
when max_bnkg_beh_score &gt; 609 and max_bnkg_beh_score &lt;= 627 then 26
when max_bnkg_beh_score &gt; 627 and max_bnkg_beh_score &lt;= 643 then 32
when max_bnkg_beh_score &gt; 643 and max_bnkg_beh_score &lt;= 657 then 40
when max_bnkg_beh_score &gt; 657 and max_bnkg_beh_score &lt;= 671 then 45
when max_bnkg_beh_score &gt; 671 and max_bnkg_beh_score &lt;= 687 then 51
when max_bnkg_beh_score &gt; 687 and max_bnkg_beh_score &lt;= 703 then 55
when max_bnkg_beh_score &gt; 703 then 68
else 6 end
else 0 end as pd_irb_char13_score_test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</si>
  <si>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pd_irb_char14_score</t>
  </si>
  <si>
    <t>select 
date_processed, 
audt_execution_version,
count(*),
count(case when pd_irb_char14_score= pd_irb_char14_score_test then 1 end ) as match,
count(case when pd_irb_char14_score&lt;&gt; pd_irb_char14_score_test then 1 end ) as NO_match,
count(case when pd_irb_char14_score is null and  pd_irb_char14_score_test is null then 1 end ) as both_null,
count(case when pd_irb_char14_score is null and  pd_irb_char14_score_test is not null then 1 end ) as src_is_null_test_is_not_null,
count(case when pd_irb_char14_score is not null and  pd_irb_char14_score_test is null then 1 end ) as src_is_not_null_test_is_null
from
(select irb.date_processed, irb.audt_execution_version, irb.cntr_contract_id, irb.contract_source_system, pd_irb_char14_score,  
case when segment = 'CLEAN' then
case
when e1b03_temp is null then 25
when e1b03_temp in (-9, -1, -0.5, 0.5, 0) then 39
when e1b03_temp = 1 then 25
else 25 end
else 0 end as pd_irb_char14_score_test
from
(select * from prod_retail_capital_enriched.main_upl_model_partitions
where date_processed='2024-09-30' and audt_execution_version='MCM4') irb
full outer join
(select *,
case 
when e1b03_min is null or e1b03_min = '' then -9
when e1b03_min = 'T' then  -1
when e1b03_min = 'N' then  -0.5
when e1b03_min = 'U' then  0.5
when regexp_like(e1b03_min,'^[+-]?[0-9]+(\.[0-9]+)?$') then cast(e1b03_min as DOUBLE) else 0 end as e1b03_temp
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</si>
  <si>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pd_irb_char15_score</t>
  </si>
  <si>
    <t>select 
date_processed, 
audt_execution_version,
count(*),
count(case when pd_irb_char15_score= pd_irb_char15_score_test then 1 end ) as match,
count(case when pd_irb_char15_score&lt;&gt; pd_irb_char15_score_test then 1 end ) as NO_match,
count(case when pd_irb_char15_score is null and  pd_irb_char15_score_test is null then 1 end ) as both_null,
count(case when pd_irb_char15_score is null and  pd_irb_char15_score_test is not null then 1 end ) as src_is_null_test_is_not_null,
count(case when pd_irb_char15_score is not null and  pd_irb_char15_score_test is null then 1 end ) as src_is_not_null_test_is_null
from
(select irb.date_processed, irb.audt_execution_version, irb.cntr_contract_id, irb.contract_source_system, pd_irb_char15_score,  
case when segment = 'CLEAN' then
case
when e2h07_temp is null then 27
when e2h07_temp in (-9, -1) then 39
when e2h07_temp in (-0.5, 1) then 33
when e2h07_temp = 0.5 then 43
when e2h07_temp = 0 then 47
when e2h07_temp &gt;= 2 and e2h07_temp &lt;= 8 then 27
else 27 end
else 0 end as pd_irb_char15_score_test
from
(select * from prod_retail_capital_enriched.main_upl_model_partitions
where date_processed='2024-09-30' and audt_execution_version='MCM4') irb
full outer join
(select *,
case 
when e2h07_min is null or e2h07_min = '' then -9
when e2h07_min = 'T' then  -1
when e2h07_min = 'N' then  -0.5
when e2h07_min = 'U' then  0.5
when regexp_like(e2h07_min,'^[+-]?[0-9]+(\.[0-9]+)?$') then cast(e2h07_min as DOUBLE) else 0 end as e2h07_temp
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</si>
  <si>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pd_irb_char16_score</t>
  </si>
  <si>
    <t>select 
date_processed, 
audt_execution_version,
count(*),
count(case when pd_irb_char16_score= pd_irb_char16_score_test then 1 end ) as match,
count(case when pd_irb_char16_score&lt;&gt; pd_irb_char16_score_test then 1 end ) as NO_match,
count(case when pd_irb_char16_score is null and  pd_irb_char16_score_test is null then 1 end ) as both_null,
count(case when pd_irb_char16_score is null and  pd_irb_char16_score_test is not null then 1 end ) as src_is_null_test_is_not_null,
count(case when pd_irb_char16_score is not null and  pd_irb_char16_score_test is null then 1 end ) as src_is_not_null_test_is_null
from
(select irb.date_processed, irb.audt_execution_version, irb.cntr_contract_id, irb.contract_source_system, pd_irb_char16_score,  
case when segment = 'CLEAN' then
case
when ea1f04_temp is null then 29
when ea1f04_temp = 1 then 29
when ea1f04_temp = 0 then 40
else 29 end
else 0 end as pd_irb_char16_score_test
from
(select * from prod_retail_capital_enriched.main_upl_model_partitions
where date_processed='2024-09-30' and audt_execution_version='MCM4') irb
full outer join
(select *,
case 
when ea1f04_max is null or ea1f04_max = '' then 0
when ea1f04_max = 'Y' then  1 else 0 end as ea1f04_temp
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</si>
  <si>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pd_score</t>
  </si>
  <si>
    <t>select 
date_processed, 
audt_execution_version,
count(*),
count(case when pd_score= pd_score_test then 1 end ) as match,
count(case when pd_score&lt;&gt; pd_score_test then 1 end ) as NO_match,
count(case when pd_score is null and  pd_score_test is null then 1 end ) as both_null,
count(case when pd_score is null and  pd_score_test is not null then 1 end ) as src_is_null_test_is_not_null,
count(case when pd_score is not null and  pd_score_test is null then 1 end ) as src_is_not_null_test_is_null
from
(select irb.date_processed, irb.audt_execution_version, irb.cntr_contract_id, irb.contract_source_system, pd_score,  
(pd_irb_char1_score + pd_irb_char2_score + pd_irb_char3_score +
pd_irb_char4_score + pd_irb_char5_score + pd_irb_char6_score +
pd_irb_char7_score + pd_irb_char8_score + pd_irb_char9_score +
pd_irb_char10_score + pd_irb_char11_score + pd_irb_char12_score +
pd_irb_char13_score + pd_irb_char14_score + pd_irb_char15_score+
pd_irb_char16_score) as  pd_score_test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</si>
  <si>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pd_segment</t>
  </si>
  <si>
    <t>select 
date_processed, audt_execution_version,
count(*),
count(case when pd_segment= pd_segment_test then 1 end ) as 'match',
count(case when pd_segment&lt;&gt; pd_segment_test then 1 end ) as 'NO match',
count(case when pd_segment is null and  pd_segment_test is null then 1 end ) as 'both null',
count(case when pd_segment is null and  pd_segment_test is not null then 1 end ) as 'tgt is null calc pd_segment is not null',
count(case when pd_segment is not null and  pd_segment_test is null then 1 end ) as 'tgt not null calc pd_segment is null'
from
(select arrears_history_cde, delphi_bankruptcy_ind, time_on_books_mths_cnt, application_score_id,pd_segment,mdl.audt_process_timestamp,
mdl.date_processed, mdl.audt_execution_version,
case 
when arrears_history_cde = 5 then '99_99'
when delphi_bankruptcy_ind like 'Y' then '99_99'
when arrears_history_cde = 4 then '01_00'
when time_on_books_mths_cnt &lt;4 and application_score_id= 18 then '02_18'
when time_on_books_mths_cnt &lt;4 and application_score_id= 19 then '02_19'
when time_on_books_mths_cnt &lt;4 and application_score_id in (26,28,30,32) then '02_26'
when time_on_books_mths_cnt &lt;4 and application_score_id in (27,29,31,33)then '02_27'
when time_on_books_mths_cnt &lt;4 and application_score_id= 90 then '02_90'
when time_on_books_mths_cnt &lt;4 then '02_99'
when time_on_books_mths_cnt &gt;=4 and arrears_history_cde= 0 then '03_00'
when time_on_books_mths_cnt &gt;=4 and arrears_history_cde= 1 then '04_00'
when time_on_books_mths_cnt &gt;=4 and arrears_history_cde= 2 then '05_00'
else '99_99'
end as pd_segment_test
 from
prod_retail_capital_enriched.main_upl_model_partitions mdl
join
prod_retail_capital_enriched.main_upl_driver drv
on mdl.cntr_contract_id = drv.cntr_contract_id and
mdl.date_processed = drv.date_processed and mdl.audt_execution_version = drv.audt_execution_version
where mdl.date_processed = '2024-09-30' and mdl.audt_execution_version = 'MCM4') final
group by date_processed, audt_execution_version;</t>
  </si>
  <si>
    <t>calc_pd_fctr</t>
  </si>
  <si>
    <t>select 
date_processed, audt_execution_version,
count(*),
count(case when calc_pd_fctr= calc_pd_fctr_final then 1 end ) as 'match',
count(case when calc_pd_fctr&lt;&gt; calc_pd_fctr_final then 1 end ) as 'NO match',
count(case when calc_pd_fctr is null and  calc_pd_fctr_final is null then 1 end ) as 'both null',
count(case when calc_pd_fctr is null and  calc_pd_fctr_final is not null then 1 end ) as 'tgt is null calc grade_n is not null',
count(case when calc_pd_fctr is not null and  calc_pd_fctr_final is null then 1 end ) as 'tgt not null calc grade_n is null'
from
(select cntr_contract_id, 
pd_segment, pd_score, application_score,application_score_id,date_processed, audt_execution_version,
calc_pd_fctr,audt_process_timestamp,
calc_pd_fctr_test,
case 
when pd_segment = '02_26' and application_score_id in (26,28,30,32) and calc_pd_fctr_test &gt;= 0 and calc_pd_fctr_test &lt; 1 then
case when round(1.30751834030111*calc_pd_fctr_test,6) &lt; 0.999999 then round(1.30751834030111*calc_pd_fctr_test,6)
else 0.999999 end
when pd_segment = '02_27' and application_score_id in (27,29,31,33) and calc_pd_fctr_test &gt;= 0 and calc_pd_fctr_test &lt; 1 then
case when round(1.30751834030111*calc_pd_fctr_test,6) &lt; 0.999999 then round(1.30751834030111*calc_pd_fctr_test,6)
else 0.999999 end
when pd_segment = '01_00' and calc_pd_fctr_test &gt;= 0 and calc_pd_fctr_test &lt; 1 then
case when round(1.30751834030111*calc_pd_fctr_test,6) &lt; 0.999999 then round(1.30751834030111*calc_pd_fctr_test,6)
else 0.999999 end
when pd_segment = '03_00' and calc_pd_fctr_test &gt;= 0 and calc_pd_fctr_test &lt; 1 then
case when round(1.30751834030111*calc_pd_fctr_test,6) &lt; 0.999999 then round(1.30751834030111*calc_pd_fctr_test,6)
else 0.999999 end
when pd_segment = '04_00' and calc_pd_fctr_test &gt;= 0 and calc_pd_fctr_test &lt; 1 then
case when round(1.30751834030111*calc_pd_fctr_test,6) &lt; 0.999999 then round(1.30751834030111*calc_pd_fctr_test,6)
else 0.999999 end
when pd_segment = '05_00' and calc_pd_fctr_test &gt;= 0 and calc_pd_fctr_test &lt; 1 then
case when round(1.30751834030111*calc_pd_fctr_test,6) &lt; 0.999999 then round(1.30751834030111*calc_pd_fctr_test,6)
else 0.999999 end
else calc_pd_fctr_test end as calc_pd_fctr_final
from (select mdl.cntr_contract_id, mdl.pd_score,
cast(pd_segment as string) as pd_segment, bh_score, application_score,application_score_id,mdl.date_processed, mdl.audt_execution_version,calc_pd_fctr,mdl.audt_process_timestamp,
case
when pd_segment = '99_99' then 1
when pd_segment = '01_00' then round(1/(1+power(2,(bh_score-486.15)/32.07)),6)
when pd_segment = '02_18' then round(1/(1+power(2,(application_score-485.72)/21.82)),6)
when pd_segment = '02_19' then round(1/(1+power(2,(application_score-487.81)/20.32)),6)
when pd_segment = '02_26' then round(1/(1+power(2,(application_score-485.72)/21.82)),6)
when pd_segment = '02_27' then round(1/(1+power(2,(application_score-487.81)/20.32)),6)
when pd_segment = '02_90' then round(1/(1+power(2,(application_score-508.93)/17.21)),6)
when pd_segment = '02_99' and application_score = 0 then 0.999999
when pd_segment = '02_99' then round(1/(1+power(2,(application_score-500)/20)),6)
when pd_segment = '03_00' then round(1/(1+power(2,(bh_score-494.92)/19.48)),6)
when pd_segment = '04_00' then round(1/(1+power(2,(bh_score-481.39)/25.24)),6)
when pd_segment = '05_00' then round(1/(1+power(2,(bh_score-497.95)/21.94)),6)
else 1
end as calc_pd_fctr_test
 from
prod_retail_capital_enriched.main_upl_model_partitions mdl
join
prod_retail_capital_enriched.main_upl_driver drv
on mdl.cntr_contract_id = drv.cntr_contract_id and
mdl.date_processed = drv.date_processed and mdl.audt_execution_version = drv.audt_execution_version
join prod_retail_capital_enriched.upl_bh_score_model_partitions bh
on mdl.cntr_contract_id = bh.cntr_contract_id and
mdl.date_processed = bh.date_processed and mdl.audt_execution_version = bh.audt_execution_version 
where mdl.date_processed = '2024-09-30' and mdl.audt_execution_version = 'MCM4' and bh.model='PRA') final) final1
group by date_processed, audt_execution_version;</t>
  </si>
  <si>
    <t>pd_ttc</t>
  </si>
  <si>
    <t>select 
date_processed, audt_execution_version,
count(*),
count(case when pd_ttc= pd_ttc_test then 1 end ) as 'match',
count(case when pd_ttc&lt;&gt; pd_ttc_test then 1 end ) as 'NO match',
count(case when pd_ttc is null and  pd_ttc_test is null then 1 end ) as 'both null',
count(case when pd_ttc is null and  pd_ttc_test is not null then 1 end ) as 'tgt is null calc grade_n is not null',
count(case when pd_ttc is not null and  pd_ttc_test is null then 1 end ) as 'tgt not null calc grade_n is null'
from
(select cntr_contract_id, date_processed, audt_execution_version, pd_grade_id, pd_ttc,audt_process_timestamp,
case
when pd_grade_id = 1.1 then 0.000435
when pd_grade_id = 1.8 then 0.000788
when pd_grade_id = 2.1 then 0.001011
when pd_grade_id = 2.6 then 0.001556
when pd_grade_id = 3 then 0.002183
when pd_grade_id = 4 then 0.005023
when pd_grade_id = 5 then 0.011754
when pd_grade_id = 6 then 0.028916
when pd_grade_id = 7 then 0.059580
when pd_grade_id = 8 then 0.115663
when pd_grade_id = 9 then 0.186886
when pd_grade_id = 10 then 0.298576
when pd_grade_id = 11 then 0.796736
when pd_grade_id = 12 then 1
else 1
end as pd_ttc_test
 from
prod_retail_capital_enriched.main_upl_model_partitions
where date_processed = '2024-09-30' and audt_execution_version = 'MCM4') final
group by date_processed, audt_execution_version;</t>
  </si>
  <si>
    <t>pd_grade_id</t>
  </si>
  <si>
    <t>select 
date_processed, audt_execution_version,
count(*),
count(case when pd_grade_id= pd_grade_id_test then 1 end ) as 'match',
count(case when pd_grade_id&lt;&gt; pd_grade_id_test then 1 end ) as 'NO match',
count(case when pd_grade_id is null and  pd_grade_id_test is null then 1 end ) as 'both null',
count(case when pd_grade_id is null and  pd_grade_id_test is not null then 1 end ) as 'tgt is null calc pd_grade_id is not null',
count(case when pd_grade_id is not null and  pd_grade_id_test is null then 1 end ) as 'tgt not null calc pd_grade_id is null'
from
(select mdl.cntr_contract_id, pd_grade_id, mdl.date_processed, mdl.audt_execution_version,calc_pd_fctr,mdl.audt_process_timestamp,
case
when calc_pd_fctr &gt; 0 and calc_pd_fctr &lt;= 0.000100 then 1.1
when calc_pd_fctr &gt; 0.000100 and calc_pd_fctr &lt;= 0.000300 then 1.8
when calc_pd_fctr &gt; 0.000300 and calc_pd_fctr &lt;= 0.000500 then 2.1
when calc_pd_fctr &gt; 0.000500 and calc_pd_fctr &lt;= 0.001000 then 2.6
when calc_pd_fctr &gt; 0.001000 and calc_pd_fctr &lt;= 0.002000 then 3
when calc_pd_fctr &gt; 0.002000 and calc_pd_fctr &lt;= 0.005000 then 4
when calc_pd_fctr &gt; 0.005000 and calc_pd_fctr &lt;= 0.010000 then 5
when calc_pd_fctr &gt; 0.010000 and calc_pd_fctr &lt;= 0.020000 then 6
when calc_pd_fctr &gt; 0.020000 and calc_pd_fctr &lt;= 0.050000 then 7
when calc_pd_fctr &gt; 0.050000 and calc_pd_fctr &lt;= 0.100000 then 8
when calc_pd_fctr &gt; 0.100000 and calc_pd_fctr &lt;= 0.200000 then 9
when calc_pd_fctr &gt; 0.200000 and calc_pd_fctr &lt;= 0.400000 then 10
when calc_pd_fctr &gt; 0.400000 and calc_pd_fctr &lt; 1 then 11
when calc_pd_fctr = 0.999999 then 11
when calc_pd_fctr &gt; 1 and calc_pd_fctr &lt; 0 then 1
else 99
end as pd_grade_id_test
from
prod_retail_capital_enriched.main_upl_model_partitions mdl
join
prod_retail_capital_enriched.main_upl_driver drv
on mdl.cntr_contract_id = drv.cntr_contract_id and
mdl.date_processed = drv.date_processed and mdl.audt_execution_version = drv.audt_execution_version
where mdl.date_processed = '2024-09-30' and mdl.audt_execution_version = 'MCM4') final
group by date_processed, audt_execution_version,audt_process_timestamp;</t>
  </si>
  <si>
    <t>ead_seg</t>
  </si>
  <si>
    <t>select 
date_processed, 
audt_execution_version,
count(*),
count(case when ead_seg= ead_seg_test then 1 end ) as match,
count(case when ead_seg&lt;&gt; ead_seg_test then 1 end ) as NO_match,
count(case when ead_seg is null and  ead_seg_test is null then 1 end ) as both_null,
count(case when ead_seg is null and  ead_seg_test is not null then 1 end ) as src_is_null_test_is_not_null,
count(case when ead_seg is not null and  ead_seg_test is null then 1 end ) as src_is_not_null_test_is_null
from
(select irb.date_processed, irb.audt_execution_version, irb.cntr_contract_id, irb.contract_source_system, ead_seg,
case when irb.pd_grade_id = 99 then 5
when time_on_books_mths_cnt &lt; 0 then 5
when length(cast(application_score_id as string)) = 0 and time_on_books_mths_cnt&lt;4 then 5
when loan_term-time_on_books_mths_cnt &lt; 6 then 1
when installments_in_arrears is null then 2
when installments_in_arrears is not null and installments_in_arrears &lt; 1 then 2
when installments_in_arrears is not null and installments_in_arrears &lt; 2 then 3
when installments_in_arrears is not null and installments_in_arrears &lt; 3 then 4
else 5 end as ead_seg_test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</si>
  <si>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ead</t>
  </si>
  <si>
    <t>select 
date_processed, 
audt_execution_version,
count(*),
count(case when ead= ead_test then 1 end ) as match,
count(case when ead&lt;&gt; ead_test then 1 end ) as NO_match,
count(case when ead is null and  ead_test is null then 1 end ) as both_null,
count(case when ead is null and  ead_test is not null then 1 end ) as src_is_null_test_is_not_null,
count(case when ead is not null and  ead_test is null then 1 end ) as src_is_not_null_test_is_null
from
(select irb.date_processed, irb.audt_execution_version, irb.cntr_contract_id, irb.contract_source_system, ead,
round(case when
(case when ead_seg = 5 then current_net_balance
when ead_seg = 1 then (0.75941*current_net_balance) + (26.91835*coalesce(installments_in_arrears,-9999998))
when ead_seg = 2 then 0.97481*current_net_balance
when ead_seg = 3 then 1.00226*current_net_balance
when ead_seg = 4 then 1.01734*current_net_balance
else current_net_balance end) &lt; 0 then 
(case when current_net_balance &gt; 0 then current_net_balance else 0 end)
else  
(case when ead_seg = 5 then current_net_balance
when ead_seg = 1 then (0.75941*current_net_balance) + (26.91835*coalesce(installments_in_arrears,-9999998))
when ead_seg = 2 then 0.97481*current_net_balance
when ead_seg = 3 then 1.00226*current_net_balance
when ead_seg = 4 then 1.01734*current_net_balance
else current_net_balance end) end,6) as ead_test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</si>
  <si>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ead_floored</t>
  </si>
  <si>
    <t>select 
date_processed, 
audt_execution_version,
count(*),
count(case when ead_floored= ead_floored_test then 1 end ) as match,
count(case when ead_floored&lt;&gt; ead_floored_test then 1 end ) as NO_match,
count(case when ead_floored is null and  ead_floored_test is null then 1 end ) as both_null,
count(case when ead_floored is null and  ead_floored_test is not null then 1 end ) as src_is_null_test_is_not_null,
count(case when ead_floored is not null and  ead_floored_test is null then 1 end ) as src_is_not_null_test_is_null
from
(select irb.date_processed, irb.audt_execution_version, irb.cntr_contract_id, irb.contract_source_system, ead_floored,
round(case when current_net_balance is not null and ead- current_net_balance &lt; 0 then 
case when current_net_balance &gt; 0 then current_net_balance else 0 end
else ead end, 6) as ead_floored_test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</si>
  <si>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lgd_pd12</t>
  </si>
  <si>
    <t>select 
date_processed, 
audt_execution_version,
count(*),
count(case when lgd_pd12= lgd_pd12_test then 1 end ) as match,
count(case when lgd_pd12&lt;&gt; lgd_pd12_test then 1 end ) as NO_match,
count(case when lgd_pd12 is null and  lgd_pd12_test is null then 1 end ) as both_null,
count(case when lgd_pd12 is null and  lgd_pd12_test is not null then 1 end ) as src_is_null_test_is_not_null,
count(case when lgd_pd12 is not null and  lgd_pd12_test is null then 1 end ) as src_is_not_null_test_is_null
from
(select irb.date_processed, irb.audt_execution_version, irb.cntr_contract_id, irb.contract_source_system, lgd_pd12,
round(case when pd_grade_id = 99 then 1
else 0.41640 end, 5) as lgd_pd12_test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</si>
  <si>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lgd_pwo12</t>
  </si>
  <si>
    <t>select 
date_processed, 
audt_execution_version,
count(*),
count(case when lgd_pwo12= lgd_pwo12_test then 1 end ) as match,
count(case when lgd_pwo12&lt;&gt; lgd_pwo12_test then 1 end ) as NO_match,
count(case when lgd_pwo12 is null and  lgd_pwo12_test is null then 1 end ) as both_null,
count(case when lgd_pwo12 is null and  lgd_pwo12_test is not null then 1 end ) as src_is_null_test_is_not_null,
count(case when lgd_pwo12 is not null and  lgd_pwo12_test is null then 1 end ) as src_is_not_null_test_is_null
from
(select irb.date_processed, irb.audt_execution_version, irb.cntr_contract_id, irb.contract_source_system, lgd_pwo12,
round(case when pd_grade_id = 99 then 0
else 0.58360 end, 5) as lgd_pwo12_test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</si>
  <si>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lgd_pwod</t>
  </si>
  <si>
    <t>select 
date_processed, 
audt_execution_version,
count(*),
count(case when lgd_pwod= lgd_pwod_test then 1 end ) as match,
count(case when lgd_pwod&lt;&gt; lgd_pwod_test then 1 end ) as NO_match,
count(case when lgd_pwod is null and  lgd_pwod_test is null then 1 end ) as both_null,
count(case when lgd_pwod is null and  lgd_pwod_test is not null then 1 end ) as src_is_null_test_is_not_null,
count(case when lgd_pwod is not null and  lgd_pwod_test is null then 1 end ) as src_is_not_null_test_is_null
from
(select irb.date_processed, irb.audt_execution_version, irb.cntr_contract_id, irb.contract_source_system, lgd_pwod,
round(lgd_pwo12 + (lgd_pd12 * lgd_pwoe), 5) as lgd_pwod_test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
group by date_processed, audt_execution_version;</t>
  </si>
  <si>
    <t>lgd_exloss</t>
  </si>
  <si>
    <t>select 
date_processed, 
audt_execution_version,
count(*),
count(case when lgd_exloss= lgd_exloss_test then 1 end ) as match,
count(case when lgd_exloss&lt;&gt; lgd_exloss_test then 1 end ) as NO_match,
count(case when lgd_exloss is null and  lgd_exloss_test is null then 1 end ) as both_null,
count(case when lgd_exloss is null and  lgd_exloss_test is not null then 1 end ) as src_is_null_test_is_not_null,
count(case when lgd_exloss is not null and  lgd_exloss_test is null then 1 end ) as src_is_not_null_test_is_null
from
(select *, 
round(case when current_net_balance &lt; 100 then ead
when lgd_exloss_temp &lt;= 0 then ead
else lgd_exloss_temp end,2) as lgd_exloss_test
from
(select *,
case when current_net_balance &lt; 100 then ead
else 0.95776*ead + (-26.37156*lgd_term_ratio) + (-28.67318*ead_ratio) end as lgd_exloss_temp
from 
(select irb.date_processed, irb.audt_execution_version, irb.cntr_contract_id, irb.contract_source_system, lgd_exloss, ead, current_net_balance, 
case when original_loan_amt is null then 1 else 
case when round(ead/original_loan_amt,10) &gt;1 then 1 else round(ead/original_loan_amt,10) end end as ead_ratio,
case when time_on_books_mths_cnt is null or loan_term is null then 1 else
case when round(time_on_books_mths_cnt/loan_term,10) &gt; 1 then 1 else round(time_on_books_mths_cnt/loan_term,10) end end as lgd_term_ratio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 ) src2)src3
group by date_processed, audt_execution_version;</t>
  </si>
  <si>
    <t>lgd_severity</t>
  </si>
  <si>
    <t>select 
date_processed, 
audt_execution_version,
count(*),
count(case when lgd_severity= lgd_severity_test then 1 end ) as match,
count(case when lgd_severity&lt;&gt; lgd_severity_test then 1 end ) as NO_match,
count(case when lgd_severity is null and  lgd_severity_test is null then 1 end ) as both_null,
count(case when lgd_severity is null and  lgd_severity_test is not null then 1 end ) as src_is_null_test_is_not_null,
count(case when lgd_severity is not null and  lgd_severity_test is null then 1 end ) as src_is_not_null_test_is_null
from
(select irb.date_processed, irb.audt_execution_version, irb.cntr_contract_id, irb.contract_source_system, lgd_severity,
case when ead = 0 then 0 
else  round((0.88*lgd_exloss + 4.75*4.31)/ead,6) end as lgd_severity_test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 
group by date_processed, audt_execution_version;</t>
  </si>
  <si>
    <t>lgd_ttc</t>
  </si>
  <si>
    <t>select 
date_processed, 
audt_execution_version,
count(*),
count(case when lgd_ttc= lgd_ttc_test then 1 end ) as match,
count(case when lgd_ttc&lt;&gt; lgd_ttc_test then 1 end ) as NO_match,
count(case when lgd_ttc is null and  lgd_ttc_test is null then 1 end ) as both_null,
count(case when lgd_ttc is null and  lgd_ttc_test is not null then 1 end ) as src_is_null_test_is_not_null,
count(case when lgd_ttc is not null and  lgd_ttc_test is null then 1 end ) as src_is_not_null_test_is_null
from
(select irb.date_processed, irb.audt_execution_version, irb.cntr_contract_id, irb.contract_source_system, lgd_ttc,
round(lgd_severity*lgd_pwod,6) as lgd_ttc_test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 
group by date_processed, audt_execution_version;</t>
  </si>
  <si>
    <t>lgd_exloss precision</t>
  </si>
  <si>
    <t>select 
date_processed,
audt_execution_version,
max(abs(lgd_exloss_test - lgd_exloss)) as max_diff,
min(abs(lgd_exloss_test - lgd_exloss)) as min_diff
from
(select *, 
round(case when current_net_balance &lt; 100 then ead
when lgd_exloss_temp &lt;= 0 then ead
else lgd_exloss_temp end,2) as lgd_exloss_test
from
(select *,
case when current_net_balance &lt; 100 then ead
else 0.95776*ead + (-26.37156*lgd_term_ratio) + (-28.67318*ead_ratio) end as lgd_exloss_temp
from 
(select irb.date_processed, irb.audt_execution_version, irb.cntr_contract_id, irb.contract_source_system, lgd_exloss, ead, current_net_balance, 
case when original_loan_amt is null then 1 else 
case when round(ead/original_loan_amt,10) &gt;1 then 1 else round(ead/original_loan_amt,10) end end as ead_ratio,
case when time_on_books_mths_cnt is null or loan_term is null then 1 else
case when round(time_on_books_mths_cnt/loan_term,10) &gt; 1 then 1 else round(time_on_books_mths_cnt/loan_term,10) end end as lgd_term_ratio
from
(select * from prod_retail_capital_enriched.main_upl_model_partitions
where date_processed='2024-09-30' and audt_execution_version='MCM4') irb
full outer join
(select * from prod_retail_capital_enriched.main_upl_driver
where date_processed='2024-09-30' and audt_execution_version='MCM4') upldrv
on irb.cntr_contract_id = upldrv.cntr_contract_id and irb.contract_source_system = upldrv.contract_source_system) src ) src2)src3
group by date_processed, audt_execution_version;</t>
  </si>
  <si>
    <t>max_diff</t>
  </si>
  <si>
    <t>min_diff</t>
  </si>
  <si>
    <t>lgd_exloss differences</t>
  </si>
  <si>
    <t>select 
prod.cntr_contract_id,
prod.calc_pd_fctr as prod_calc_pd_fctr,
round(exp.adj_calc_pd_fctr,6) as  tactical_calc_pd_fctr,
round(prod.calc_pd_fctr - round(exp.adj_calc_pd_fctr,6),6) as difference
from
(select cntr_contract_id, date_processed, audt_execution_version, calc_pd_fctr
from exp_capital_team.main_upl_model_partitions
where date_processed = '2024-09-30'
and audt_execution_version ='ACM2')prod
full outer join
(select * 
from exp_capital_team.upl_pra_model_sep24)exp
on exp.cntr_contract_id= prod.cntr_contract_id
where prod.calc_pd_fctr &lt;&gt; round(exp.adj_calc_pd_fctr,6)
limit 10;</t>
  </si>
  <si>
    <t>cntr_contract_id</t>
  </si>
  <si>
    <t>lgd_exloss_test</t>
  </si>
  <si>
    <t>difference</t>
  </si>
  <si>
    <t>001552761430426490</t>
  </si>
  <si>
    <t>001552761430607539</t>
  </si>
  <si>
    <t>001517951430002113</t>
  </si>
  <si>
    <t>001552761430174230</t>
  </si>
  <si>
    <t>001552761430610124</t>
  </si>
  <si>
    <t>001552761430611351</t>
  </si>
  <si>
    <t>001516251430001748</t>
  </si>
  <si>
    <t>001552761430608199</t>
  </si>
  <si>
    <t>001552761430611426</t>
  </si>
  <si>
    <t>001581931430259897</t>
  </si>
  <si>
    <t>001552761430614507</t>
  </si>
  <si>
    <t>001552761430610040</t>
  </si>
  <si>
    <t>001581931430267400</t>
  </si>
  <si>
    <t>001552761430426755</t>
  </si>
  <si>
    <t>001552761430612812</t>
  </si>
  <si>
    <t>001552761430607819</t>
  </si>
  <si>
    <t>001552761430605846</t>
  </si>
  <si>
    <t>001552761430611047</t>
  </si>
  <si>
    <t>001552761430606725</t>
  </si>
  <si>
    <t>001552761430513317</t>
  </si>
  <si>
    <t>001552761430607450</t>
  </si>
  <si>
    <t>001552761430611125</t>
  </si>
  <si>
    <t>001581931430267303</t>
  </si>
  <si>
    <t>001552761430612382</t>
  </si>
  <si>
    <t>001552761430606844</t>
  </si>
  <si>
    <t>001552761430613639</t>
  </si>
  <si>
    <t>001552761430607847</t>
  </si>
  <si>
    <t>001552761430607058</t>
  </si>
  <si>
    <t>001552761430605937</t>
  </si>
  <si>
    <t>001552761430609045</t>
  </si>
  <si>
    <t>001552761430439721</t>
  </si>
  <si>
    <t>001552761430611074</t>
  </si>
  <si>
    <t>001512121430000906</t>
  </si>
  <si>
    <t>001552761430614670</t>
  </si>
  <si>
    <t>001552761430607701</t>
  </si>
  <si>
    <t>001552761430420881</t>
  </si>
  <si>
    <t>001552761430611886</t>
  </si>
  <si>
    <t>001581931430267299</t>
  </si>
  <si>
    <t>001552761430610176</t>
  </si>
  <si>
    <t>001552761430428099</t>
  </si>
  <si>
    <t>001552761430607792</t>
  </si>
  <si>
    <t>001552761430429033</t>
  </si>
  <si>
    <t>001552761430609833</t>
  </si>
  <si>
    <t>001552761430427651</t>
  </si>
  <si>
    <t>001552761430420503</t>
  </si>
  <si>
    <t>001552761430614517</t>
  </si>
  <si>
    <t>001552761430608398</t>
  </si>
  <si>
    <t>001552761430606330</t>
  </si>
  <si>
    <t>001552761430428730</t>
  </si>
  <si>
    <t>001552761430613328</t>
  </si>
  <si>
    <t>001552761430610323</t>
  </si>
  <si>
    <t>001552761430425324</t>
  </si>
  <si>
    <t>001552761430607755</t>
  </si>
  <si>
    <t>001552761430607288</t>
  </si>
  <si>
    <t>001552761430613874</t>
  </si>
  <si>
    <t>001552761430613726</t>
  </si>
  <si>
    <t>001552761430609640</t>
  </si>
  <si>
    <t>001552761430607013</t>
  </si>
  <si>
    <t>001552761430429358</t>
  </si>
  <si>
    <t>001552761430614449</t>
  </si>
  <si>
    <t>001552761430609031</t>
  </si>
  <si>
    <t>001552761430611541</t>
  </si>
  <si>
    <t>001581931430267498</t>
  </si>
  <si>
    <t>001552761430429024</t>
  </si>
  <si>
    <t>001552761430610033</t>
  </si>
  <si>
    <t>001552761430607004</t>
  </si>
  <si>
    <t>001552761430609568</t>
  </si>
  <si>
    <t>001552761430611724</t>
  </si>
  <si>
    <t>001552761430607718</t>
  </si>
  <si>
    <t>001552761430612810</t>
  </si>
  <si>
    <t>001552761430614098</t>
  </si>
  <si>
    <t>001577381430141536</t>
  </si>
  <si>
    <t>001552761430610812</t>
  </si>
  <si>
    <t>001552761430611753</t>
  </si>
  <si>
    <t>001552761430429206</t>
  </si>
  <si>
    <t>001552761430606306</t>
  </si>
  <si>
    <t>001552761430429069</t>
  </si>
  <si>
    <t>001552761430354814</t>
  </si>
  <si>
    <t>001552761430607094</t>
  </si>
  <si>
    <t>001552761430529644</t>
  </si>
  <si>
    <t>001552761430614059</t>
  </si>
  <si>
    <t>001552761430607578</t>
  </si>
  <si>
    <t>001552761430608537</t>
  </si>
  <si>
    <t>001552761430611694</t>
  </si>
  <si>
    <t>001552761430610659</t>
  </si>
  <si>
    <t>001577381430141612</t>
  </si>
  <si>
    <t>001552761430614167</t>
  </si>
  <si>
    <t>001552761430607315</t>
  </si>
  <si>
    <t>001552761430608442</t>
  </si>
  <si>
    <t>001552761430614279</t>
  </si>
  <si>
    <t>001552761430613864</t>
  </si>
  <si>
    <t>001552761430611026</t>
  </si>
  <si>
    <t>001552761430425101</t>
  </si>
  <si>
    <t>001552761430611548</t>
  </si>
  <si>
    <t>001552761430609774</t>
  </si>
  <si>
    <t>001552761430429767</t>
  </si>
  <si>
    <t>001511061430002037</t>
  </si>
  <si>
    <t>001552761430598252</t>
  </si>
  <si>
    <t>001577381430141590</t>
  </si>
  <si>
    <t>001552761430607867</t>
  </si>
  <si>
    <t>match calc_pd_fctr</t>
  </si>
  <si>
    <t>no match calc_pd_fctr</t>
  </si>
  <si>
    <t>prod null exp not null calc_pd_fctr</t>
  </si>
  <si>
    <t>prod not null exp nullcalc_pd_fctr</t>
  </si>
  <si>
    <t>match pd_ttc</t>
  </si>
  <si>
    <t>no match pd_ttc</t>
  </si>
  <si>
    <t>prod null exp not null pd_ttc</t>
  </si>
  <si>
    <t>prod not null exp nullpd_ttc</t>
  </si>
  <si>
    <t>match pd_grade_id</t>
  </si>
  <si>
    <t>no match pd_grade_id</t>
  </si>
  <si>
    <t>prod null exp not null pd_grade_id</t>
  </si>
  <si>
    <t>prod not null exp nullpd_grade_id</t>
  </si>
  <si>
    <t>select 
prod.date_processed as date_processed,
prod.audt_execution_version as audt_execution_version,
count(*),
count(case when prod.calc_pd_fctr = round(exp.adj_calc_pd_fctr,6) or ( prod.calc_pd_fctr is null and round(exp.adj_calc_pd_fctr,6) is null) then 1 end) as 'match calc_pd_fctr',
count(case when prod.calc_pd_fctr &lt;&gt; round(exp.adj_calc_pd_fctr,6) then 1 end) as 'NO match calc_pd_fctr',
count(case when prod.calc_pd_fctr is null and round(exp.adj_calc_pd_fctr,6) is not null then 1 end) as 'prod null exp Not null calc_pd_fctr',
count(case when prod.calc_pd_fctr is not null and round(exp.adj_calc_pd_fctr,6) is null then 1 end) as 'prod NOT null exp nullcalc_pd_fctr',
count(case when prod.pd_ttc = round(exp.pd_ttc,6) or ( prod.pd_ttc is null and round(exp.pd_ttc,6) is null) then 1 end) as 'match pd_ttc',
count(case when prod.pd_ttc &lt;&gt; round(exp.pd_ttc,6) then 1 end) as 'NO match pd_ttc',
count(case when prod.pd_ttc is null and round(exp.pd_ttc,6) is not null then 1 end) as 'prod null exp Not null pd_ttc',
count(case when prod.pd_ttc is not null and round(exp.pd_ttc,6) is null then 1 end) as 'prod NOT null exp nullpd_ttc',
count(case when prod.pd_grade_id = exp.pd_grade_id or ( prod.pd_grade_id is null and exp.pd_grade_id is null) then 1 end) as 'match pd_grade_id',
count(case when prod.pd_grade_id &lt;&gt; exp.pd_grade_id then 1 end) as 'NO match pd_grade_id',
count(case when prod.pd_grade_id is null and exp.pd_grade_id is not null then 1 end) as 'prod null exp Not null pd_grade_id',
count(case when prod.pd_grade_id is not null and exp.pd_grade_id is null then 1 end) as 'prod NOT null exp nullpd_grade_id'
from
(select *
from exp_capital_team.main_upl_model_partitions
where date_processed = '2024-09-30'
and audt_execution_version ='ACM2')prod
full outer join
(select *
from
exp_capital_team.upl_pra_model_sep24
)exp
on exp.cntr_contract_id= prod.cntr_contract_id
group by prod.date_processed,prod.audt_execution_version;</t>
  </si>
  <si>
    <t>Rounding Issue</t>
  </si>
  <si>
    <t>select 
prod.date_processed as date_processed,
prod.audt_execution_version as audt_execution_version,
count(*),
max(abs(prod.calc_pd_fctr - round(exp.adj_calc_pd_fctr,6))) as max_diff,
min(abs(prod.calc_pd_fctr - round(exp.adj_calc_pd_fctr,6))) as min_diff
from
(select cntr_contract_id, date_processed, audt_execution_version, calc_pd_fctr
from exp_capital_team.main_upl_model_partitions
where date_processed = '2024-09-30'
and audt_execution_version ='ACM2')prod
full outer join
(select * 
from exp_capital_team.upl_pra_model_sep24)exp
on exp.cntr_contract_id= prod.cntr_contract_id
group by prod.date_processed,prod.audt_execution_version;</t>
  </si>
  <si>
    <t>Sample differences</t>
  </si>
  <si>
    <t>prod_calc_pd_fctr</t>
  </si>
  <si>
    <t>tactical_calc_pd_fctr</t>
  </si>
  <si>
    <t>001552761430420620</t>
  </si>
  <si>
    <t>001552761430526731</t>
  </si>
  <si>
    <t>001510961430002846</t>
  </si>
  <si>
    <t>001527451430000679</t>
  </si>
  <si>
    <t>001552761430602123</t>
  </si>
  <si>
    <t>001552761430148787</t>
  </si>
  <si>
    <t>001552761430522926</t>
  </si>
  <si>
    <t>001552761430437287</t>
  </si>
  <si>
    <t>001552761430336922</t>
  </si>
  <si>
    <t>001552761430276526</t>
  </si>
  <si>
    <t>using risk score as input to driver application_score</t>
  </si>
  <si>
    <t>difference  between ACM2 and MCM4 UK/UK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</si>
</sst>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0000"/>
    <numFmt numFmtId="166" formatCode="0.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2" fillId="8" borderId="11" applyNumberFormat="0" applyAlignment="0" applyProtection="0"/>
  </cellStyleXfs>
  <cellXfs count="71">
    <xf numFmtId="0" fontId="0" fillId="0" borderId="0" xfId="0"/>
    <xf numFmtId="0" fontId="4" fillId="4" borderId="0" xfId="0" applyFont="1" applyFill="1"/>
    <xf numFmtId="0" fontId="4" fillId="5" borderId="0" xfId="0" applyFont="1" applyFill="1"/>
    <xf numFmtId="0" fontId="0" fillId="0" borderId="1" xfId="0" applyBorder="1"/>
    <xf numFmtId="14" fontId="0" fillId="0" borderId="0" xfId="0" applyNumberFormat="1"/>
    <xf numFmtId="0" fontId="3" fillId="3" borderId="1" xfId="3" applyBorder="1"/>
    <xf numFmtId="0" fontId="0" fillId="0" borderId="2" xfId="0" applyBorder="1"/>
    <xf numFmtId="10" fontId="0" fillId="0" borderId="2" xfId="1" applyNumberFormat="1" applyFont="1" applyBorder="1"/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0" fillId="0" borderId="3" xfId="0" applyBorder="1"/>
    <xf numFmtId="10" fontId="0" fillId="0" borderId="3" xfId="1" applyNumberFormat="1" applyFont="1" applyBorder="1"/>
    <xf numFmtId="164" fontId="5" fillId="0" borderId="3" xfId="0" applyNumberFormat="1" applyFont="1" applyBorder="1" applyAlignment="1">
      <alignment horizontal="left"/>
    </xf>
    <xf numFmtId="49" fontId="0" fillId="0" borderId="3" xfId="0" applyNumberFormat="1" applyBorder="1"/>
    <xf numFmtId="49" fontId="5" fillId="0" borderId="3" xfId="0" applyNumberFormat="1" applyFont="1" applyBorder="1" applyAlignment="1">
      <alignment horizontal="left"/>
    </xf>
    <xf numFmtId="49" fontId="5" fillId="0" borderId="3" xfId="0" applyNumberFormat="1" applyFont="1" applyBorder="1"/>
    <xf numFmtId="2" fontId="5" fillId="0" borderId="3" xfId="0" applyNumberFormat="1" applyFont="1" applyBorder="1" applyAlignment="1">
      <alignment horizontal="right"/>
    </xf>
    <xf numFmtId="2" fontId="0" fillId="0" borderId="3" xfId="1" applyNumberFormat="1" applyFont="1" applyBorder="1" applyAlignment="1">
      <alignment horizontal="right"/>
    </xf>
    <xf numFmtId="49" fontId="0" fillId="0" borderId="0" xfId="0" applyNumberFormat="1"/>
    <xf numFmtId="0" fontId="6" fillId="0" borderId="1" xfId="0" applyFont="1" applyBorder="1"/>
    <xf numFmtId="0" fontId="6" fillId="0" borderId="0" xfId="0" applyFont="1"/>
    <xf numFmtId="0" fontId="0" fillId="0" borderId="0" xfId="0" applyAlignment="1">
      <alignment horizontal="left" vertical="top" wrapText="1"/>
    </xf>
    <xf numFmtId="0" fontId="0" fillId="5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6" borderId="0" xfId="0" applyFill="1"/>
    <xf numFmtId="0" fontId="2" fillId="2" borderId="0" xfId="2"/>
    <xf numFmtId="0" fontId="0" fillId="0" borderId="0" xfId="0" applyAlignment="1">
      <alignment wrapText="1"/>
    </xf>
    <xf numFmtId="47" fontId="0" fillId="0" borderId="0" xfId="0" applyNumberFormat="1"/>
    <xf numFmtId="0" fontId="0" fillId="7" borderId="0" xfId="0" applyFill="1"/>
    <xf numFmtId="0" fontId="9" fillId="0" borderId="0" xfId="0" applyFont="1" applyAlignment="1">
      <alignment vertical="center" wrapText="1"/>
    </xf>
    <xf numFmtId="3" fontId="0" fillId="0" borderId="0" xfId="0" applyNumberFormat="1"/>
    <xf numFmtId="0" fontId="11" fillId="0" borderId="0" xfId="0" applyFont="1" applyAlignment="1">
      <alignment wrapText="1"/>
    </xf>
    <xf numFmtId="0" fontId="10" fillId="0" borderId="7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left" vertical="top" wrapText="1"/>
    </xf>
    <xf numFmtId="0" fontId="13" fillId="0" borderId="0" xfId="0" applyFont="1"/>
    <xf numFmtId="14" fontId="0" fillId="0" borderId="1" xfId="0" applyNumberFormat="1" applyBorder="1"/>
    <xf numFmtId="0" fontId="12" fillId="8" borderId="11" xfId="4" applyAlignment="1">
      <alignment horizontal="left" wrapText="1"/>
    </xf>
    <xf numFmtId="0" fontId="12" fillId="8" borderId="11" xfId="4" applyAlignment="1">
      <alignment horizontal="left" vertical="top" wrapText="1"/>
    </xf>
    <xf numFmtId="0" fontId="3" fillId="3" borderId="0" xfId="3"/>
    <xf numFmtId="0" fontId="2" fillId="2" borderId="0" xfId="2" applyAlignment="1">
      <alignment wrapText="1"/>
    </xf>
    <xf numFmtId="0" fontId="12" fillId="8" borderId="11" xfId="4"/>
    <xf numFmtId="0" fontId="12" fillId="8" borderId="11" xfId="4" applyAlignment="1">
      <alignment wrapText="1"/>
    </xf>
    <xf numFmtId="0" fontId="2" fillId="2" borderId="1" xfId="2" applyBorder="1"/>
    <xf numFmtId="0" fontId="12" fillId="8" borderId="11" xfId="4" applyAlignment="1">
      <alignment horizontal="left" vertical="center" wrapText="1"/>
    </xf>
    <xf numFmtId="0" fontId="12" fillId="8" borderId="11" xfId="4" applyAlignment="1">
      <alignment horizontal="left" vertical="center"/>
    </xf>
    <xf numFmtId="0" fontId="12" fillId="8" borderId="11" xfId="4" applyAlignment="1">
      <alignment horizontal="left"/>
    </xf>
    <xf numFmtId="165" fontId="0" fillId="0" borderId="0" xfId="0" applyNumberFormat="1"/>
    <xf numFmtId="0" fontId="12" fillId="8" borderId="12" xfId="4" applyBorder="1" applyAlignment="1">
      <alignment horizontal="left" wrapText="1"/>
    </xf>
    <xf numFmtId="0" fontId="12" fillId="8" borderId="13" xfId="4" applyBorder="1" applyAlignment="1">
      <alignment horizontal="left" wrapText="1"/>
    </xf>
    <xf numFmtId="0" fontId="12" fillId="8" borderId="14" xfId="4" applyBorder="1" applyAlignment="1">
      <alignment horizontal="left" wrapText="1"/>
    </xf>
    <xf numFmtId="49" fontId="0" fillId="0" borderId="1" xfId="0" applyNumberFormat="1" applyBorder="1"/>
    <xf numFmtId="0" fontId="0" fillId="0" borderId="0" xfId="0"/>
    <xf numFmtId="166" fontId="0" fillId="0" borderId="1" xfId="0" applyNumberFormat="1" applyBorder="1"/>
    <xf numFmtId="14" fontId="12" fillId="8" borderId="11" xfId="4" applyNumberFormat="1"/>
    <xf numFmtId="3" fontId="0" fillId="0" borderId="1" xfId="0" applyNumberFormat="1" applyBorder="1"/>
  </cellXfs>
  <cellStyles count="5">
    <cellStyle name="Good" xfId="2" builtinId="26"/>
    <cellStyle name="Neutral" xfId="3" builtinId="28"/>
    <cellStyle name="Normal" xfId="0" builtinId="0"/>
    <cellStyle name="Output" xfId="4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38</xdr:row>
      <xdr:rowOff>95250</xdr:rowOff>
    </xdr:from>
    <xdr:to>
      <xdr:col>3</xdr:col>
      <xdr:colOff>2181225</xdr:colOff>
      <xdr:row>38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93C6514-4596-65ED-A991-6A674841F3AE}"/>
            </a:ext>
          </a:extLst>
        </xdr:cNvPr>
        <xdr:cNvCxnSpPr/>
      </xdr:nvCxnSpPr>
      <xdr:spPr>
        <a:xfrm>
          <a:off x="4848225" y="10220325"/>
          <a:ext cx="21812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39</xdr:row>
      <xdr:rowOff>100965</xdr:rowOff>
    </xdr:from>
    <xdr:to>
      <xdr:col>3</xdr:col>
      <xdr:colOff>2196465</xdr:colOff>
      <xdr:row>39</xdr:row>
      <xdr:rowOff>100965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8A8F14-0975-4A4A-B76F-1DCCA68E83F2}"/>
            </a:ext>
          </a:extLst>
        </xdr:cNvPr>
        <xdr:cNvCxnSpPr/>
      </xdr:nvCxnSpPr>
      <xdr:spPr>
        <a:xfrm>
          <a:off x="4857750" y="10407015"/>
          <a:ext cx="218694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A99C-C161-4CA4-87FF-3635EEFF4226}">
  <dimension ref="B4:E42"/>
  <sheetViews>
    <sheetView workbookViewId="0">
      <selection activeCell="D15" sqref="D15"/>
    </sheetView>
  </sheetViews>
  <sheetFormatPr defaultRowHeight="14.4" x14ac:dyDescent="0.3"/>
  <cols>
    <col min="2" max="2" width="20.6640625" customWidth="1"/>
    <col min="3" max="3" width="41.109375" customWidth="1"/>
    <col min="4" max="4" width="37.109375" customWidth="1"/>
    <col min="5" max="5" width="47.33203125" style="38" customWidth="1"/>
  </cols>
  <sheetData>
    <row r="4" spans="2:3" ht="15.6" x14ac:dyDescent="0.3">
      <c r="B4" s="23" t="s">
        <v>26</v>
      </c>
    </row>
    <row r="5" spans="2:3" ht="15" thickBot="1" x14ac:dyDescent="0.35">
      <c r="B5" s="24"/>
    </row>
    <row r="6" spans="2:3" ht="16.2" thickBot="1" x14ac:dyDescent="0.35">
      <c r="B6" s="25" t="s">
        <v>28</v>
      </c>
      <c r="C6" s="26"/>
    </row>
    <row r="7" spans="2:3" ht="15.6" x14ac:dyDescent="0.3">
      <c r="B7" s="25"/>
      <c r="C7" s="27" t="s">
        <v>29</v>
      </c>
    </row>
    <row r="8" spans="2:3" ht="15.6" x14ac:dyDescent="0.3">
      <c r="B8" s="28" t="s">
        <v>30</v>
      </c>
      <c r="C8" s="29" t="s">
        <v>31</v>
      </c>
    </row>
    <row r="9" spans="2:3" ht="15.6" x14ac:dyDescent="0.3">
      <c r="B9" s="28"/>
      <c r="C9" s="29" t="s">
        <v>32</v>
      </c>
    </row>
    <row r="10" spans="2:3" ht="15.6" x14ac:dyDescent="0.3">
      <c r="B10" s="28"/>
      <c r="C10" s="29"/>
    </row>
    <row r="11" spans="2:3" ht="15.6" x14ac:dyDescent="0.3">
      <c r="B11" s="44"/>
      <c r="C11" s="29" t="s">
        <v>33</v>
      </c>
    </row>
    <row r="12" spans="2:3" ht="15.6" x14ac:dyDescent="0.3">
      <c r="B12" s="44"/>
      <c r="C12" s="29" t="s">
        <v>34</v>
      </c>
    </row>
    <row r="13" spans="2:3" ht="16.2" thickBot="1" x14ac:dyDescent="0.35">
      <c r="B13" s="45"/>
      <c r="C13" s="31" t="s">
        <v>35</v>
      </c>
    </row>
    <row r="14" spans="2:3" ht="15" thickBot="1" x14ac:dyDescent="0.35">
      <c r="B14" s="24"/>
    </row>
    <row r="15" spans="2:3" ht="15.6" x14ac:dyDescent="0.3">
      <c r="B15" s="25" t="s">
        <v>28</v>
      </c>
      <c r="C15" s="27" t="s">
        <v>36</v>
      </c>
    </row>
    <row r="16" spans="2:3" ht="15.6" x14ac:dyDescent="0.3">
      <c r="B16" s="28"/>
      <c r="C16" s="32" t="s">
        <v>29</v>
      </c>
    </row>
    <row r="17" spans="2:5" ht="15.6" x14ac:dyDescent="0.3">
      <c r="B17" s="28" t="s">
        <v>30</v>
      </c>
      <c r="C17" s="29" t="s">
        <v>37</v>
      </c>
    </row>
    <row r="18" spans="2:5" ht="15.6" x14ac:dyDescent="0.3">
      <c r="B18" s="28"/>
      <c r="C18" s="29" t="s">
        <v>32</v>
      </c>
    </row>
    <row r="19" spans="2:5" ht="15.6" x14ac:dyDescent="0.3">
      <c r="B19" s="28"/>
      <c r="C19" s="29"/>
    </row>
    <row r="20" spans="2:5" ht="15.6" x14ac:dyDescent="0.3">
      <c r="B20" s="44"/>
      <c r="C20" s="29" t="s">
        <v>38</v>
      </c>
    </row>
    <row r="21" spans="2:5" ht="15.6" x14ac:dyDescent="0.3">
      <c r="B21" s="44"/>
      <c r="C21" s="29" t="s">
        <v>34</v>
      </c>
    </row>
    <row r="22" spans="2:5" ht="15.6" x14ac:dyDescent="0.3">
      <c r="B22" s="44"/>
      <c r="C22" s="29" t="s">
        <v>35</v>
      </c>
    </row>
    <row r="23" spans="2:5" ht="15.6" x14ac:dyDescent="0.3">
      <c r="B23" s="44"/>
      <c r="C23" s="29" t="s">
        <v>39</v>
      </c>
    </row>
    <row r="24" spans="2:5" ht="15.6" x14ac:dyDescent="0.3">
      <c r="B24" s="44"/>
      <c r="C24" s="29" t="s">
        <v>40</v>
      </c>
    </row>
    <row r="25" spans="2:5" ht="16.2" thickBot="1" x14ac:dyDescent="0.35">
      <c r="B25" s="30"/>
      <c r="C25" s="31" t="s">
        <v>41</v>
      </c>
    </row>
    <row r="26" spans="2:5" ht="15.6" x14ac:dyDescent="0.3">
      <c r="B26" s="33"/>
      <c r="C26" s="33"/>
    </row>
    <row r="27" spans="2:5" ht="15.6" x14ac:dyDescent="0.3">
      <c r="B27" s="24"/>
      <c r="C27" s="33" t="s">
        <v>1060</v>
      </c>
      <c r="D27" t="s">
        <v>1061</v>
      </c>
      <c r="E27" s="38" t="s">
        <v>1507</v>
      </c>
    </row>
    <row r="28" spans="2:5" ht="43.2" x14ac:dyDescent="0.3">
      <c r="B28" t="s">
        <v>27</v>
      </c>
      <c r="C28" s="3" t="s">
        <v>43</v>
      </c>
      <c r="D28" s="34" t="s">
        <v>42</v>
      </c>
      <c r="E28" s="38" t="s">
        <v>1058</v>
      </c>
    </row>
    <row r="29" spans="2:5" ht="72" customHeight="1" x14ac:dyDescent="0.3">
      <c r="C29" s="35" t="s">
        <v>44</v>
      </c>
      <c r="D29" s="35" t="s">
        <v>1059</v>
      </c>
      <c r="E29" s="38" t="s">
        <v>1116</v>
      </c>
    </row>
    <row r="30" spans="2:5" ht="43.2" x14ac:dyDescent="0.3">
      <c r="C30" s="35" t="s">
        <v>45</v>
      </c>
      <c r="D30" s="35" t="s">
        <v>46</v>
      </c>
      <c r="E30" s="38" t="s">
        <v>1042</v>
      </c>
    </row>
    <row r="31" spans="2:5" ht="72" x14ac:dyDescent="0.3">
      <c r="C31" s="35" t="s">
        <v>47</v>
      </c>
      <c r="D31" s="35" t="s">
        <v>1117</v>
      </c>
      <c r="E31" s="38" t="s">
        <v>1056</v>
      </c>
    </row>
    <row r="32" spans="2:5" x14ac:dyDescent="0.3">
      <c r="C32" s="46" t="s">
        <v>35</v>
      </c>
      <c r="D32" s="35" t="s">
        <v>48</v>
      </c>
    </row>
    <row r="33" spans="2:5" ht="72" x14ac:dyDescent="0.3">
      <c r="C33" s="46"/>
      <c r="D33" s="35" t="s">
        <v>49</v>
      </c>
      <c r="E33" s="38" t="s">
        <v>1057</v>
      </c>
    </row>
    <row r="37" spans="2:5" x14ac:dyDescent="0.3">
      <c r="C37" t="s">
        <v>1067</v>
      </c>
    </row>
    <row r="38" spans="2:5" ht="15.6" x14ac:dyDescent="0.3">
      <c r="C38" s="41" t="s">
        <v>1060</v>
      </c>
      <c r="E38" s="43" t="s">
        <v>1066</v>
      </c>
    </row>
    <row r="39" spans="2:5" x14ac:dyDescent="0.3">
      <c r="B39" t="s">
        <v>1068</v>
      </c>
      <c r="C39" t="s">
        <v>1062</v>
      </c>
      <c r="E39" s="38" t="s">
        <v>1064</v>
      </c>
    </row>
    <row r="40" spans="2:5" x14ac:dyDescent="0.3">
      <c r="C40" t="s">
        <v>1063</v>
      </c>
      <c r="E40" s="38" t="s">
        <v>1065</v>
      </c>
    </row>
    <row r="41" spans="2:5" x14ac:dyDescent="0.3">
      <c r="B41" t="s">
        <v>1069</v>
      </c>
      <c r="C41" t="s">
        <v>1064</v>
      </c>
    </row>
    <row r="42" spans="2:5" x14ac:dyDescent="0.3">
      <c r="B42" t="s">
        <v>1070</v>
      </c>
      <c r="C42" t="s">
        <v>1065</v>
      </c>
    </row>
  </sheetData>
  <mergeCells count="3">
    <mergeCell ref="B11:B13"/>
    <mergeCell ref="B20:B24"/>
    <mergeCell ref="C32:C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C20F-989D-4D40-B69E-9C453FFE0D9C}">
  <dimension ref="A1"/>
  <sheetViews>
    <sheetView workbookViewId="0">
      <selection activeCell="D31" sqref="D3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87E7-F143-455D-BDAD-E8A25AB4BC1D}">
  <dimension ref="A2:BG28"/>
  <sheetViews>
    <sheetView topLeftCell="C1" workbookViewId="0">
      <selection activeCell="C1" sqref="A1:XFD1048576"/>
    </sheetView>
  </sheetViews>
  <sheetFormatPr defaultColWidth="8.77734375" defaultRowHeight="14.4" x14ac:dyDescent="0.3"/>
  <cols>
    <col min="3" max="3" width="34.88671875" customWidth="1"/>
    <col min="4" max="4" width="40.6640625" bestFit="1" customWidth="1"/>
    <col min="5" max="5" width="21.6640625" bestFit="1" customWidth="1"/>
    <col min="6" max="6" width="15" bestFit="1" customWidth="1"/>
    <col min="7" max="7" width="18.33203125" bestFit="1" customWidth="1"/>
    <col min="8" max="8" width="28" bestFit="1" customWidth="1"/>
    <col min="9" max="9" width="46.6640625" bestFit="1" customWidth="1"/>
    <col min="10" max="10" width="46.21875" bestFit="1" customWidth="1"/>
    <col min="11" max="11" width="8.6640625" bestFit="1" customWidth="1"/>
    <col min="12" max="12" width="28.33203125" bestFit="1" customWidth="1"/>
    <col min="13" max="13" width="26.44140625" bestFit="1" customWidth="1"/>
    <col min="14" max="14" width="8.6640625" bestFit="1" customWidth="1"/>
    <col min="15" max="15" width="11.6640625" bestFit="1" customWidth="1"/>
    <col min="16" max="16" width="11.109375" bestFit="1" customWidth="1"/>
    <col min="17" max="17" width="7.33203125" bestFit="1" customWidth="1"/>
    <col min="18" max="18" width="9.6640625" bestFit="1" customWidth="1"/>
  </cols>
  <sheetData>
    <row r="2" spans="1:59" x14ac:dyDescent="0.3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59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59" x14ac:dyDescent="0.3"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x14ac:dyDescent="0.3">
      <c r="E6" t="s">
        <v>3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5"/>
      <c r="BF6" s="3"/>
      <c r="BG6" s="3"/>
    </row>
    <row r="7" spans="1:59" x14ac:dyDescent="0.3">
      <c r="E7" s="37">
        <v>3780110</v>
      </c>
      <c r="F7" s="37">
        <v>3780110</v>
      </c>
      <c r="G7">
        <v>0</v>
      </c>
      <c r="H7">
        <v>0</v>
      </c>
      <c r="I7">
        <v>0</v>
      </c>
      <c r="J7">
        <v>0</v>
      </c>
      <c r="K7" s="6"/>
      <c r="L7" s="6"/>
      <c r="M7" s="6"/>
      <c r="N7" s="7"/>
      <c r="O7" s="7"/>
      <c r="P7" s="8"/>
      <c r="Q7" s="9"/>
      <c r="R7" s="6"/>
    </row>
    <row r="8" spans="1:59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2"/>
      <c r="Q8" s="10"/>
      <c r="R8" s="10"/>
    </row>
    <row r="9" spans="1:59" s="18" customFormat="1" x14ac:dyDescent="0.3">
      <c r="A9"/>
      <c r="B9"/>
      <c r="C9" s="13"/>
      <c r="D9" s="14"/>
      <c r="E9" s="15"/>
      <c r="F9" s="15"/>
      <c r="G9" s="15"/>
      <c r="H9" s="16"/>
      <c r="I9" s="16"/>
      <c r="J9" s="16"/>
      <c r="K9" s="16"/>
      <c r="L9" s="17"/>
      <c r="M9" s="17"/>
      <c r="N9" s="11"/>
      <c r="O9" s="11"/>
      <c r="P9" s="13"/>
      <c r="Q9" s="13"/>
      <c r="R9" s="13"/>
    </row>
    <row r="10" spans="1:59" s="18" customFormat="1" x14ac:dyDescent="0.3">
      <c r="C10" s="13"/>
      <c r="D10" s="14"/>
      <c r="E10" s="15"/>
      <c r="F10" s="15"/>
      <c r="G10" s="15"/>
      <c r="H10" s="16"/>
      <c r="I10" s="16"/>
      <c r="J10" s="16"/>
      <c r="K10" s="16"/>
      <c r="L10" s="16"/>
      <c r="M10" s="16"/>
      <c r="N10" s="11"/>
      <c r="O10" s="11"/>
      <c r="P10" s="13"/>
      <c r="Q10" s="13"/>
      <c r="R10" s="13"/>
    </row>
    <row r="11" spans="1:59" x14ac:dyDescent="0.3"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59" x14ac:dyDescent="0.3">
      <c r="C13" s="19" t="s">
        <v>20</v>
      </c>
    </row>
    <row r="14" spans="1:59" x14ac:dyDescent="0.3">
      <c r="D14" s="47" t="s">
        <v>80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59" x14ac:dyDescent="0.3">
      <c r="C15" s="20" t="s">
        <v>21</v>
      </c>
    </row>
    <row r="16" spans="1:59" ht="14.4" customHeight="1" x14ac:dyDescent="0.3"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3:16" x14ac:dyDescent="0.3">
      <c r="C17" s="20" t="s">
        <v>22</v>
      </c>
    </row>
    <row r="18" spans="3:16" x14ac:dyDescent="0.3"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3:16" x14ac:dyDescent="0.3">
      <c r="C19" s="20" t="s">
        <v>23</v>
      </c>
    </row>
    <row r="20" spans="3:16" x14ac:dyDescent="0.3"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3:16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" t="s">
        <v>24</v>
      </c>
      <c r="D22" s="22"/>
      <c r="E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8" spans="3:16" x14ac:dyDescent="0.3">
      <c r="C28" s="2" t="s"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mergeCells count="4">
    <mergeCell ref="D14:N14"/>
    <mergeCell ref="D16:P16"/>
    <mergeCell ref="D18:P18"/>
    <mergeCell ref="D20:P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08AC-A83B-418C-B851-2D1A10AE0FC9}">
  <dimension ref="A2:BG28"/>
  <sheetViews>
    <sheetView workbookViewId="0">
      <selection activeCell="G7" sqref="E7:G7"/>
    </sheetView>
  </sheetViews>
  <sheetFormatPr defaultColWidth="8.77734375" defaultRowHeight="14.4" x14ac:dyDescent="0.3"/>
  <cols>
    <col min="3" max="3" width="34.88671875" customWidth="1"/>
    <col min="4" max="4" width="40.6640625" bestFit="1" customWidth="1"/>
    <col min="5" max="5" width="21.6640625" bestFit="1" customWidth="1"/>
    <col min="6" max="6" width="15" bestFit="1" customWidth="1"/>
    <col min="7" max="7" width="18.33203125" bestFit="1" customWidth="1"/>
    <col min="8" max="8" width="28" bestFit="1" customWidth="1"/>
    <col min="9" max="9" width="46.6640625" bestFit="1" customWidth="1"/>
    <col min="10" max="10" width="46.21875" bestFit="1" customWidth="1"/>
    <col min="11" max="11" width="8.6640625" bestFit="1" customWidth="1"/>
    <col min="12" max="12" width="28.33203125" bestFit="1" customWidth="1"/>
    <col min="13" max="13" width="26.44140625" bestFit="1" customWidth="1"/>
    <col min="14" max="14" width="8.6640625" bestFit="1" customWidth="1"/>
    <col min="15" max="15" width="11.6640625" bestFit="1" customWidth="1"/>
    <col min="16" max="16" width="11.109375" bestFit="1" customWidth="1"/>
    <col min="17" max="17" width="7.33203125" bestFit="1" customWidth="1"/>
    <col min="18" max="18" width="9.6640625" bestFit="1" customWidth="1"/>
  </cols>
  <sheetData>
    <row r="2" spans="1:59" x14ac:dyDescent="0.3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59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59" x14ac:dyDescent="0.3">
      <c r="C5" t="s">
        <v>1</v>
      </c>
      <c r="D5" t="s">
        <v>3</v>
      </c>
      <c r="E5" t="s">
        <v>108</v>
      </c>
      <c r="F5" t="s">
        <v>109</v>
      </c>
      <c r="G5" t="s">
        <v>110</v>
      </c>
      <c r="H5" t="s">
        <v>114</v>
      </c>
      <c r="I5" t="s">
        <v>115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x14ac:dyDescent="0.3">
      <c r="C6" s="4">
        <v>45565</v>
      </c>
      <c r="D6" s="37">
        <v>3780110</v>
      </c>
      <c r="E6" s="37">
        <v>3780110</v>
      </c>
      <c r="F6">
        <v>0</v>
      </c>
      <c r="G6">
        <v>0</v>
      </c>
      <c r="H6">
        <v>0</v>
      </c>
      <c r="I6">
        <v>0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5"/>
      <c r="BF6" s="3"/>
      <c r="BG6" s="3"/>
    </row>
    <row r="7" spans="1:59" x14ac:dyDescent="0.3">
      <c r="K7" s="6"/>
      <c r="L7" s="6"/>
      <c r="M7" s="6"/>
      <c r="N7" s="7"/>
      <c r="O7" s="7"/>
      <c r="P7" s="8"/>
      <c r="Q7" s="9"/>
      <c r="R7" s="6"/>
    </row>
    <row r="8" spans="1:59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2"/>
      <c r="Q8" s="10"/>
      <c r="R8" s="10"/>
    </row>
    <row r="9" spans="1:59" s="18" customFormat="1" x14ac:dyDescent="0.3">
      <c r="A9"/>
      <c r="B9"/>
      <c r="C9" s="13"/>
      <c r="D9" s="14"/>
      <c r="E9" s="15"/>
      <c r="F9" s="15"/>
      <c r="G9" s="15"/>
      <c r="H9" s="16"/>
      <c r="I9" s="16"/>
      <c r="J9" s="16"/>
      <c r="K9" s="16"/>
      <c r="L9" s="17"/>
      <c r="M9" s="17"/>
      <c r="N9" s="11"/>
      <c r="O9" s="11"/>
      <c r="P9" s="13"/>
      <c r="Q9" s="13"/>
      <c r="R9" s="13"/>
    </row>
    <row r="10" spans="1:59" s="18" customFormat="1" x14ac:dyDescent="0.3">
      <c r="C10" s="13"/>
      <c r="D10" s="14"/>
      <c r="E10" s="15"/>
      <c r="F10" s="15"/>
      <c r="G10" s="15"/>
      <c r="H10" s="16"/>
      <c r="I10" s="16"/>
      <c r="J10" s="16"/>
      <c r="K10" s="16"/>
      <c r="L10" s="16"/>
      <c r="M10" s="16"/>
      <c r="N10" s="11"/>
      <c r="O10" s="11"/>
      <c r="P10" s="13"/>
      <c r="Q10" s="13"/>
      <c r="R10" s="13"/>
    </row>
    <row r="11" spans="1:59" x14ac:dyDescent="0.3"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59" x14ac:dyDescent="0.3">
      <c r="C13" s="19" t="s">
        <v>20</v>
      </c>
    </row>
    <row r="14" spans="1:59" x14ac:dyDescent="0.3">
      <c r="D14" s="47" t="s">
        <v>113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59" x14ac:dyDescent="0.3">
      <c r="C15" s="20" t="s">
        <v>21</v>
      </c>
    </row>
    <row r="16" spans="1:59" ht="14.4" customHeight="1" x14ac:dyDescent="0.3"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3:16" x14ac:dyDescent="0.3">
      <c r="C17" s="20" t="s">
        <v>22</v>
      </c>
    </row>
    <row r="18" spans="3:16" x14ac:dyDescent="0.3"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3:16" x14ac:dyDescent="0.3">
      <c r="C19" s="20" t="s">
        <v>23</v>
      </c>
    </row>
    <row r="20" spans="3:16" x14ac:dyDescent="0.3"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3:16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" t="s">
        <v>24</v>
      </c>
      <c r="D22" s="22"/>
      <c r="E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8" spans="3:16" x14ac:dyDescent="0.3">
      <c r="C28" s="2" t="s"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mergeCells count="4">
    <mergeCell ref="D14:N14"/>
    <mergeCell ref="D16:P16"/>
    <mergeCell ref="D18:P18"/>
    <mergeCell ref="D20:P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D89C-07AC-472D-B708-BACA76EB2212}">
  <dimension ref="A2:X36"/>
  <sheetViews>
    <sheetView topLeftCell="A29" workbookViewId="0">
      <selection activeCell="I31" sqref="I31"/>
    </sheetView>
  </sheetViews>
  <sheetFormatPr defaultRowHeight="14.4" x14ac:dyDescent="0.3"/>
  <sheetData>
    <row r="2" spans="1:1" x14ac:dyDescent="0.3">
      <c r="A2" t="s">
        <v>102</v>
      </c>
    </row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54</v>
      </c>
    </row>
    <row r="6" spans="1:1" x14ac:dyDescent="0.3">
      <c r="A6" t="s">
        <v>55</v>
      </c>
    </row>
    <row r="7" spans="1:1" x14ac:dyDescent="0.3">
      <c r="A7" t="s">
        <v>56</v>
      </c>
    </row>
    <row r="8" spans="1:1" x14ac:dyDescent="0.3">
      <c r="A8" t="s">
        <v>57</v>
      </c>
    </row>
    <row r="9" spans="1:1" x14ac:dyDescent="0.3">
      <c r="A9" t="s">
        <v>58</v>
      </c>
    </row>
    <row r="10" spans="1:1" x14ac:dyDescent="0.3">
      <c r="A10" t="s">
        <v>59</v>
      </c>
    </row>
    <row r="11" spans="1:1" x14ac:dyDescent="0.3">
      <c r="A11" t="s">
        <v>60</v>
      </c>
    </row>
    <row r="12" spans="1:1" x14ac:dyDescent="0.3">
      <c r="A12" t="s">
        <v>61</v>
      </c>
    </row>
    <row r="13" spans="1:1" x14ac:dyDescent="0.3">
      <c r="A13" t="s">
        <v>62</v>
      </c>
    </row>
    <row r="14" spans="1:1" x14ac:dyDescent="0.3">
      <c r="A14" t="s">
        <v>63</v>
      </c>
    </row>
    <row r="15" spans="1:1" x14ac:dyDescent="0.3">
      <c r="A15" t="s">
        <v>64</v>
      </c>
    </row>
    <row r="16" spans="1:1" x14ac:dyDescent="0.3">
      <c r="A16" t="s">
        <v>65</v>
      </c>
    </row>
    <row r="17" spans="1:1" x14ac:dyDescent="0.3">
      <c r="A17" t="s">
        <v>66</v>
      </c>
    </row>
    <row r="18" spans="1:1" x14ac:dyDescent="0.3">
      <c r="A18" t="s">
        <v>67</v>
      </c>
    </row>
    <row r="19" spans="1:1" x14ac:dyDescent="0.3">
      <c r="A19" t="s">
        <v>68</v>
      </c>
    </row>
    <row r="20" spans="1:1" x14ac:dyDescent="0.3">
      <c r="A20" t="s">
        <v>69</v>
      </c>
    </row>
    <row r="21" spans="1:1" x14ac:dyDescent="0.3">
      <c r="A21" t="s">
        <v>70</v>
      </c>
    </row>
    <row r="22" spans="1:1" x14ac:dyDescent="0.3">
      <c r="A22" t="s">
        <v>71</v>
      </c>
    </row>
    <row r="23" spans="1:1" x14ac:dyDescent="0.3">
      <c r="A23" t="s">
        <v>72</v>
      </c>
    </row>
    <row r="24" spans="1:1" x14ac:dyDescent="0.3">
      <c r="A24" t="s">
        <v>73</v>
      </c>
    </row>
    <row r="25" spans="1:1" x14ac:dyDescent="0.3">
      <c r="A25" t="s">
        <v>74</v>
      </c>
    </row>
    <row r="26" spans="1:1" x14ac:dyDescent="0.3">
      <c r="A26" t="s">
        <v>75</v>
      </c>
    </row>
    <row r="27" spans="1:1" x14ac:dyDescent="0.3">
      <c r="A27" t="s">
        <v>76</v>
      </c>
    </row>
    <row r="28" spans="1:1" x14ac:dyDescent="0.3">
      <c r="A28" t="s">
        <v>77</v>
      </c>
    </row>
    <row r="29" spans="1:1" x14ac:dyDescent="0.3">
      <c r="A29" t="s">
        <v>78</v>
      </c>
    </row>
    <row r="30" spans="1:1" x14ac:dyDescent="0.3">
      <c r="A30" t="s">
        <v>79</v>
      </c>
    </row>
    <row r="31" spans="1:1" x14ac:dyDescent="0.3">
      <c r="A31" t="s">
        <v>103</v>
      </c>
    </row>
    <row r="34" spans="1:24" x14ac:dyDescent="0.3">
      <c r="B34" t="s">
        <v>104</v>
      </c>
      <c r="C34" t="s">
        <v>105</v>
      </c>
      <c r="D34" t="s">
        <v>81</v>
      </c>
      <c r="E34" t="s">
        <v>82</v>
      </c>
      <c r="F34" t="s">
        <v>83</v>
      </c>
      <c r="G34" t="s">
        <v>84</v>
      </c>
      <c r="H34" t="s">
        <v>85</v>
      </c>
      <c r="I34" t="s">
        <v>86</v>
      </c>
      <c r="J34" s="36" t="s">
        <v>87</v>
      </c>
      <c r="K34" t="s">
        <v>88</v>
      </c>
      <c r="L34" t="s">
        <v>89</v>
      </c>
      <c r="M34" t="s">
        <v>90</v>
      </c>
      <c r="N34" t="s">
        <v>91</v>
      </c>
      <c r="O34" t="s">
        <v>92</v>
      </c>
      <c r="P34" t="s">
        <v>93</v>
      </c>
      <c r="Q34" t="s">
        <v>94</v>
      </c>
      <c r="R34" t="s">
        <v>95</v>
      </c>
      <c r="S34" t="s">
        <v>96</v>
      </c>
      <c r="T34" s="36" t="s">
        <v>97</v>
      </c>
      <c r="U34" t="s">
        <v>98</v>
      </c>
      <c r="V34" t="s">
        <v>99</v>
      </c>
      <c r="W34" t="s">
        <v>100</v>
      </c>
      <c r="X34" t="s">
        <v>101</v>
      </c>
    </row>
    <row r="35" spans="1:24" x14ac:dyDescent="0.3">
      <c r="A35" t="s">
        <v>106</v>
      </c>
      <c r="J35" s="36"/>
      <c r="T35" s="36"/>
    </row>
    <row r="36" spans="1:24" x14ac:dyDescent="0.3">
      <c r="B36">
        <v>3780110</v>
      </c>
      <c r="C36" t="s">
        <v>107</v>
      </c>
      <c r="D36">
        <v>3780110</v>
      </c>
      <c r="E36">
        <v>3780110</v>
      </c>
      <c r="F36">
        <v>0</v>
      </c>
      <c r="G36">
        <v>0</v>
      </c>
      <c r="H36">
        <v>0</v>
      </c>
      <c r="I36">
        <v>0</v>
      </c>
      <c r="J36" s="36">
        <v>845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36">
        <v>131</v>
      </c>
      <c r="U36">
        <v>0</v>
      </c>
      <c r="V36">
        <v>0</v>
      </c>
      <c r="W36">
        <v>0</v>
      </c>
      <c r="X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5FC2-31FA-47EC-8355-19DA18D8C0C0}">
  <dimension ref="A2:BG588"/>
  <sheetViews>
    <sheetView topLeftCell="A4" workbookViewId="0">
      <selection activeCell="N9" sqref="N9"/>
    </sheetView>
  </sheetViews>
  <sheetFormatPr defaultColWidth="8.77734375" defaultRowHeight="14.4" x14ac:dyDescent="0.3"/>
  <cols>
    <col min="3" max="3" width="31.77734375" customWidth="1"/>
    <col min="4" max="4" width="13.88671875" bestFit="1" customWidth="1"/>
    <col min="5" max="5" width="21.6640625" bestFit="1" customWidth="1"/>
    <col min="6" max="6" width="15" bestFit="1" customWidth="1"/>
    <col min="7" max="7" width="18.33203125" bestFit="1" customWidth="1"/>
    <col min="8" max="9" width="9.88671875" bestFit="1" customWidth="1"/>
    <col min="10" max="10" width="9.109375" bestFit="1" customWidth="1"/>
    <col min="11" max="11" width="8.6640625" bestFit="1" customWidth="1"/>
    <col min="12" max="12" width="28.33203125" bestFit="1" customWidth="1"/>
    <col min="13" max="13" width="26.44140625" bestFit="1" customWidth="1"/>
    <col min="14" max="14" width="8.6640625" bestFit="1" customWidth="1"/>
    <col min="15" max="15" width="11.6640625" bestFit="1" customWidth="1"/>
    <col min="16" max="16" width="11.109375" bestFit="1" customWidth="1"/>
    <col min="17" max="17" width="7.33203125" bestFit="1" customWidth="1"/>
    <col min="18" max="18" width="9.6640625" bestFit="1" customWidth="1"/>
    <col min="22" max="22" width="14.109375" bestFit="1" customWidth="1"/>
    <col min="23" max="23" width="13.88671875" bestFit="1" customWidth="1"/>
  </cols>
  <sheetData>
    <row r="2" spans="2:59" x14ac:dyDescent="0.3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2:59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59" x14ac:dyDescent="0.3">
      <c r="D5" t="s">
        <v>1</v>
      </c>
      <c r="E5" t="s">
        <v>459</v>
      </c>
      <c r="F5" t="s">
        <v>3</v>
      </c>
      <c r="G5" t="s">
        <v>108</v>
      </c>
      <c r="H5" t="s">
        <v>109</v>
      </c>
      <c r="I5" t="s">
        <v>110</v>
      </c>
      <c r="J5" t="s">
        <v>1028</v>
      </c>
      <c r="K5" t="s">
        <v>1029</v>
      </c>
      <c r="U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2:59" x14ac:dyDescent="0.3">
      <c r="C6" t="s">
        <v>1030</v>
      </c>
      <c r="D6" s="4">
        <v>45565</v>
      </c>
      <c r="E6" t="s">
        <v>31</v>
      </c>
      <c r="F6">
        <v>344637</v>
      </c>
      <c r="G6">
        <v>344637</v>
      </c>
      <c r="H6">
        <v>0</v>
      </c>
      <c r="I6">
        <v>0</v>
      </c>
      <c r="J6">
        <v>0</v>
      </c>
      <c r="K6">
        <v>0</v>
      </c>
      <c r="M6">
        <v>1</v>
      </c>
      <c r="N6" s="36" t="s">
        <v>1043</v>
      </c>
      <c r="U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2:59" x14ac:dyDescent="0.3">
      <c r="C7" s="40" t="s">
        <v>1031</v>
      </c>
      <c r="D7" s="4">
        <v>45565</v>
      </c>
      <c r="E7" t="s">
        <v>31</v>
      </c>
      <c r="F7">
        <v>344637</v>
      </c>
      <c r="G7">
        <v>344637</v>
      </c>
      <c r="H7">
        <v>0</v>
      </c>
      <c r="I7">
        <v>0</v>
      </c>
      <c r="J7">
        <v>0</v>
      </c>
      <c r="K7">
        <v>0</v>
      </c>
      <c r="M7">
        <v>2</v>
      </c>
      <c r="N7" s="40" t="s">
        <v>1044</v>
      </c>
      <c r="U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2:59" x14ac:dyDescent="0.3">
      <c r="C8" s="40" t="s">
        <v>1032</v>
      </c>
      <c r="D8" s="4">
        <v>45565</v>
      </c>
      <c r="E8" t="s">
        <v>31</v>
      </c>
      <c r="F8">
        <v>344637</v>
      </c>
      <c r="G8">
        <v>344637</v>
      </c>
      <c r="H8">
        <v>0</v>
      </c>
      <c r="I8">
        <v>0</v>
      </c>
      <c r="J8">
        <v>0</v>
      </c>
      <c r="K8">
        <v>0</v>
      </c>
      <c r="M8">
        <v>3</v>
      </c>
      <c r="N8" s="40" t="s">
        <v>1045</v>
      </c>
      <c r="U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2:59" x14ac:dyDescent="0.3">
      <c r="C9" s="40" t="s">
        <v>1033</v>
      </c>
      <c r="D9" s="4">
        <v>45565</v>
      </c>
      <c r="E9" t="s">
        <v>31</v>
      </c>
      <c r="F9">
        <v>344637</v>
      </c>
      <c r="G9">
        <v>344637</v>
      </c>
      <c r="H9">
        <v>0</v>
      </c>
      <c r="I9">
        <v>0</v>
      </c>
      <c r="J9">
        <v>0</v>
      </c>
      <c r="K9">
        <v>0</v>
      </c>
      <c r="M9">
        <v>4</v>
      </c>
      <c r="N9" s="40" t="s">
        <v>1046</v>
      </c>
      <c r="U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2:59" x14ac:dyDescent="0.3">
      <c r="C10" s="40" t="s">
        <v>1034</v>
      </c>
      <c r="D10" s="4">
        <v>45565</v>
      </c>
      <c r="E10" t="s">
        <v>31</v>
      </c>
      <c r="F10">
        <v>344637</v>
      </c>
      <c r="G10">
        <v>344637</v>
      </c>
      <c r="H10">
        <v>0</v>
      </c>
      <c r="I10">
        <v>0</v>
      </c>
      <c r="J10">
        <v>0</v>
      </c>
      <c r="K10">
        <v>0</v>
      </c>
      <c r="M10">
        <v>5</v>
      </c>
      <c r="N10" s="40" t="s">
        <v>1047</v>
      </c>
      <c r="U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2:59" x14ac:dyDescent="0.3">
      <c r="C11" s="40" t="s">
        <v>1035</v>
      </c>
      <c r="D11" s="4">
        <v>45565</v>
      </c>
      <c r="E11" t="s">
        <v>31</v>
      </c>
      <c r="F11">
        <v>344637</v>
      </c>
      <c r="G11">
        <v>344637</v>
      </c>
      <c r="H11">
        <v>0</v>
      </c>
      <c r="I11">
        <v>0</v>
      </c>
      <c r="J11">
        <v>0</v>
      </c>
      <c r="K11">
        <v>0</v>
      </c>
      <c r="M11">
        <v>6</v>
      </c>
      <c r="N11" s="40" t="s">
        <v>1048</v>
      </c>
      <c r="U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2:59" x14ac:dyDescent="0.3">
      <c r="C12" s="40" t="s">
        <v>1036</v>
      </c>
      <c r="D12" s="4">
        <v>45565</v>
      </c>
      <c r="E12" t="s">
        <v>31</v>
      </c>
      <c r="F12">
        <v>344637</v>
      </c>
      <c r="G12">
        <v>344637</v>
      </c>
      <c r="H12">
        <v>0</v>
      </c>
      <c r="I12">
        <v>0</v>
      </c>
      <c r="J12">
        <v>0</v>
      </c>
      <c r="K12">
        <v>0</v>
      </c>
      <c r="M12">
        <v>7</v>
      </c>
      <c r="N12" s="40" t="s">
        <v>1049</v>
      </c>
      <c r="U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2:59" x14ac:dyDescent="0.3">
      <c r="C13" s="40" t="s">
        <v>1037</v>
      </c>
      <c r="D13" s="4">
        <v>45565</v>
      </c>
      <c r="E13" t="s">
        <v>31</v>
      </c>
      <c r="F13">
        <v>344637</v>
      </c>
      <c r="G13">
        <v>344637</v>
      </c>
      <c r="H13">
        <v>0</v>
      </c>
      <c r="I13">
        <v>0</v>
      </c>
      <c r="J13">
        <v>0</v>
      </c>
      <c r="K13">
        <v>0</v>
      </c>
      <c r="M13">
        <v>8</v>
      </c>
      <c r="N13" s="36" t="s">
        <v>1050</v>
      </c>
      <c r="U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2:59" x14ac:dyDescent="0.3">
      <c r="C14" s="40" t="s">
        <v>1038</v>
      </c>
      <c r="D14" s="4">
        <v>45565</v>
      </c>
      <c r="E14" t="s">
        <v>31</v>
      </c>
      <c r="F14">
        <v>344637</v>
      </c>
      <c r="G14">
        <v>344637</v>
      </c>
      <c r="H14">
        <v>0</v>
      </c>
      <c r="I14">
        <v>0</v>
      </c>
      <c r="J14">
        <v>0</v>
      </c>
      <c r="K14">
        <v>0</v>
      </c>
      <c r="M14">
        <v>9</v>
      </c>
      <c r="N14" s="40" t="s">
        <v>1051</v>
      </c>
      <c r="U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2:59" x14ac:dyDescent="0.3">
      <c r="C15" s="40" t="s">
        <v>1039</v>
      </c>
      <c r="D15" s="4">
        <v>45565</v>
      </c>
      <c r="E15" t="s">
        <v>31</v>
      </c>
      <c r="F15">
        <v>344637</v>
      </c>
      <c r="G15">
        <v>344637</v>
      </c>
      <c r="H15">
        <v>0</v>
      </c>
      <c r="I15">
        <v>0</v>
      </c>
      <c r="J15">
        <v>0</v>
      </c>
      <c r="K15">
        <v>0</v>
      </c>
      <c r="M15">
        <v>10</v>
      </c>
      <c r="N15" s="40" t="s">
        <v>1052</v>
      </c>
      <c r="U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2:59" x14ac:dyDescent="0.3">
      <c r="C16" s="40" t="s">
        <v>1040</v>
      </c>
      <c r="D16" s="4">
        <v>45565</v>
      </c>
      <c r="E16" t="s">
        <v>31</v>
      </c>
      <c r="F16">
        <v>344637</v>
      </c>
      <c r="G16">
        <v>344637</v>
      </c>
      <c r="H16">
        <v>0</v>
      </c>
      <c r="I16">
        <v>0</v>
      </c>
      <c r="J16">
        <v>0</v>
      </c>
      <c r="K16">
        <v>0</v>
      </c>
      <c r="M16">
        <v>11</v>
      </c>
      <c r="N16" s="40" t="s">
        <v>1053</v>
      </c>
      <c r="U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1:59" x14ac:dyDescent="0.3">
      <c r="C17" s="40" t="s">
        <v>1041</v>
      </c>
      <c r="D17" s="4">
        <v>45565</v>
      </c>
      <c r="E17" t="s">
        <v>31</v>
      </c>
      <c r="F17">
        <v>344637</v>
      </c>
      <c r="G17">
        <v>344637</v>
      </c>
      <c r="H17">
        <v>0</v>
      </c>
      <c r="I17">
        <v>0</v>
      </c>
      <c r="J17">
        <v>0</v>
      </c>
      <c r="K17">
        <v>0</v>
      </c>
      <c r="M17">
        <v>12</v>
      </c>
      <c r="N17" s="40" t="s">
        <v>1054</v>
      </c>
      <c r="U17" s="3"/>
      <c r="AE17" s="5"/>
      <c r="AF17" s="5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5"/>
      <c r="BF17" s="3"/>
      <c r="BG17" s="3"/>
    </row>
    <row r="18" spans="1:59" x14ac:dyDescent="0.3">
      <c r="C18" s="6"/>
      <c r="M18">
        <v>13</v>
      </c>
      <c r="N18" s="40" t="s">
        <v>1055</v>
      </c>
      <c r="O18" s="7"/>
      <c r="P18" s="8"/>
      <c r="Q18" s="9"/>
      <c r="R18" s="6"/>
    </row>
    <row r="19" spans="1:59" x14ac:dyDescent="0.3"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1"/>
      <c r="P19" s="12"/>
      <c r="Q19" s="10"/>
      <c r="R19" s="10"/>
    </row>
    <row r="20" spans="1:59" s="18" customFormat="1" x14ac:dyDescent="0.3">
      <c r="A20"/>
      <c r="B20"/>
      <c r="C20" s="13"/>
      <c r="D20" s="14"/>
      <c r="E20" s="15"/>
      <c r="F20" s="15"/>
      <c r="G20" s="15"/>
      <c r="H20" s="16"/>
      <c r="I20" s="16"/>
      <c r="J20" s="16"/>
      <c r="K20" s="16"/>
      <c r="L20" s="17"/>
      <c r="M20" s="17"/>
      <c r="N20" s="11"/>
      <c r="O20" s="11"/>
      <c r="P20" s="13"/>
      <c r="Q20" s="13"/>
      <c r="R20" s="13"/>
    </row>
    <row r="21" spans="1:59" s="18" customFormat="1" x14ac:dyDescent="0.3">
      <c r="C21" s="13"/>
      <c r="D21" s="14"/>
      <c r="E21" s="15"/>
      <c r="F21" s="15"/>
      <c r="G21" s="15"/>
      <c r="H21" s="16"/>
      <c r="I21" s="16"/>
      <c r="J21" s="16"/>
      <c r="K21" s="16"/>
      <c r="L21" s="16"/>
      <c r="M21" s="16"/>
      <c r="N21" s="11"/>
      <c r="O21" s="11"/>
      <c r="P21" s="13"/>
      <c r="Q21" s="13"/>
      <c r="R21" s="13"/>
    </row>
    <row r="22" spans="1:59" x14ac:dyDescent="0.3">
      <c r="C22" s="2" t="s">
        <v>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4" spans="1:59" x14ac:dyDescent="0.3">
      <c r="C24" s="19" t="s">
        <v>20</v>
      </c>
    </row>
    <row r="25" spans="1:59" x14ac:dyDescent="0.3">
      <c r="D25" s="47" t="s">
        <v>1027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</row>
    <row r="26" spans="1:59" x14ac:dyDescent="0.3">
      <c r="C26" s="20" t="s">
        <v>21</v>
      </c>
    </row>
    <row r="27" spans="1:59" ht="14.4" customHeight="1" x14ac:dyDescent="0.3"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59" x14ac:dyDescent="0.3">
      <c r="C28" s="20" t="s">
        <v>22</v>
      </c>
    </row>
    <row r="29" spans="1:59" x14ac:dyDescent="0.3"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59" x14ac:dyDescent="0.3">
      <c r="C30" s="20" t="s">
        <v>23</v>
      </c>
    </row>
    <row r="31" spans="1:59" x14ac:dyDescent="0.3"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59" x14ac:dyDescent="0.3"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3:16" x14ac:dyDescent="0.3">
      <c r="C33" s="2" t="s">
        <v>24</v>
      </c>
      <c r="D33" s="22"/>
      <c r="E33" s="2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9" spans="3:16" x14ac:dyDescent="0.3">
      <c r="C39" s="2" t="s">
        <v>25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6" spans="3:16" x14ac:dyDescent="0.3">
      <c r="C46" t="s">
        <v>816</v>
      </c>
    </row>
    <row r="47" spans="3:16" x14ac:dyDescent="0.3">
      <c r="C47" t="s">
        <v>817</v>
      </c>
    </row>
    <row r="48" spans="3:16" x14ac:dyDescent="0.3">
      <c r="C48" t="s">
        <v>818</v>
      </c>
    </row>
    <row r="49" spans="3:3" x14ac:dyDescent="0.3">
      <c r="C49" t="s">
        <v>819</v>
      </c>
    </row>
    <row r="50" spans="3:3" x14ac:dyDescent="0.3">
      <c r="C50" t="s">
        <v>820</v>
      </c>
    </row>
    <row r="51" spans="3:3" x14ac:dyDescent="0.3">
      <c r="C51" t="s">
        <v>821</v>
      </c>
    </row>
    <row r="52" spans="3:3" x14ac:dyDescent="0.3">
      <c r="C52" t="s">
        <v>822</v>
      </c>
    </row>
    <row r="53" spans="3:3" x14ac:dyDescent="0.3">
      <c r="C53" t="s">
        <v>73</v>
      </c>
    </row>
    <row r="54" spans="3:3" x14ac:dyDescent="0.3">
      <c r="C54" t="s">
        <v>823</v>
      </c>
    </row>
    <row r="55" spans="3:3" x14ac:dyDescent="0.3">
      <c r="C55" t="s">
        <v>824</v>
      </c>
    </row>
    <row r="56" spans="3:3" x14ac:dyDescent="0.3">
      <c r="C56" t="s">
        <v>825</v>
      </c>
    </row>
    <row r="57" spans="3:3" x14ac:dyDescent="0.3">
      <c r="C57" t="s">
        <v>826</v>
      </c>
    </row>
    <row r="58" spans="3:3" x14ac:dyDescent="0.3">
      <c r="C58" t="s">
        <v>827</v>
      </c>
    </row>
    <row r="59" spans="3:3" x14ac:dyDescent="0.3">
      <c r="C59" t="s">
        <v>828</v>
      </c>
    </row>
    <row r="60" spans="3:3" x14ac:dyDescent="0.3">
      <c r="C60" t="s">
        <v>829</v>
      </c>
    </row>
    <row r="61" spans="3:3" x14ac:dyDescent="0.3">
      <c r="C61" t="s">
        <v>830</v>
      </c>
    </row>
    <row r="62" spans="3:3" x14ac:dyDescent="0.3">
      <c r="C62" t="s">
        <v>73</v>
      </c>
    </row>
    <row r="63" spans="3:3" x14ac:dyDescent="0.3">
      <c r="C63" t="s">
        <v>831</v>
      </c>
    </row>
    <row r="64" spans="3:3" x14ac:dyDescent="0.3">
      <c r="C64" t="s">
        <v>832</v>
      </c>
    </row>
    <row r="65" spans="3:3" x14ac:dyDescent="0.3">
      <c r="C65" t="s">
        <v>833</v>
      </c>
    </row>
    <row r="66" spans="3:3" x14ac:dyDescent="0.3">
      <c r="C66" t="s">
        <v>834</v>
      </c>
    </row>
    <row r="67" spans="3:3" x14ac:dyDescent="0.3">
      <c r="C67" t="s">
        <v>835</v>
      </c>
    </row>
    <row r="68" spans="3:3" x14ac:dyDescent="0.3">
      <c r="C68" t="s">
        <v>73</v>
      </c>
    </row>
    <row r="69" spans="3:3" x14ac:dyDescent="0.3">
      <c r="C69" t="s">
        <v>836</v>
      </c>
    </row>
    <row r="70" spans="3:3" x14ac:dyDescent="0.3">
      <c r="C70" t="s">
        <v>837</v>
      </c>
    </row>
    <row r="71" spans="3:3" x14ac:dyDescent="0.3">
      <c r="C71" t="s">
        <v>838</v>
      </c>
    </row>
    <row r="72" spans="3:3" x14ac:dyDescent="0.3">
      <c r="C72" t="s">
        <v>839</v>
      </c>
    </row>
    <row r="73" spans="3:3" x14ac:dyDescent="0.3">
      <c r="C73" t="s">
        <v>840</v>
      </c>
    </row>
    <row r="74" spans="3:3" x14ac:dyDescent="0.3">
      <c r="C74" t="s">
        <v>841</v>
      </c>
    </row>
    <row r="75" spans="3:3" x14ac:dyDescent="0.3">
      <c r="C75" t="s">
        <v>842</v>
      </c>
    </row>
    <row r="76" spans="3:3" x14ac:dyDescent="0.3">
      <c r="C76" t="s">
        <v>843</v>
      </c>
    </row>
    <row r="77" spans="3:3" x14ac:dyDescent="0.3">
      <c r="C77" t="s">
        <v>844</v>
      </c>
    </row>
    <row r="78" spans="3:3" x14ac:dyDescent="0.3">
      <c r="C78" t="s">
        <v>845</v>
      </c>
    </row>
    <row r="79" spans="3:3" x14ac:dyDescent="0.3">
      <c r="C79" t="s">
        <v>846</v>
      </c>
    </row>
    <row r="80" spans="3:3" x14ac:dyDescent="0.3">
      <c r="C80" t="s">
        <v>847</v>
      </c>
    </row>
    <row r="81" spans="3:3" x14ac:dyDescent="0.3">
      <c r="C81" t="s">
        <v>848</v>
      </c>
    </row>
    <row r="82" spans="3:3" x14ac:dyDescent="0.3">
      <c r="C82" t="s">
        <v>849</v>
      </c>
    </row>
    <row r="83" spans="3:3" x14ac:dyDescent="0.3">
      <c r="C83" t="s">
        <v>850</v>
      </c>
    </row>
    <row r="84" spans="3:3" x14ac:dyDescent="0.3">
      <c r="C84" t="s">
        <v>851</v>
      </c>
    </row>
    <row r="85" spans="3:3" x14ac:dyDescent="0.3">
      <c r="C85" t="s">
        <v>852</v>
      </c>
    </row>
    <row r="86" spans="3:3" x14ac:dyDescent="0.3">
      <c r="C86" t="s">
        <v>853</v>
      </c>
    </row>
    <row r="87" spans="3:3" x14ac:dyDescent="0.3">
      <c r="C87" t="s">
        <v>839</v>
      </c>
    </row>
    <row r="88" spans="3:3" x14ac:dyDescent="0.3">
      <c r="C88" t="s">
        <v>854</v>
      </c>
    </row>
    <row r="89" spans="3:3" x14ac:dyDescent="0.3">
      <c r="C89" t="s">
        <v>855</v>
      </c>
    </row>
    <row r="90" spans="3:3" x14ac:dyDescent="0.3">
      <c r="C90" t="s">
        <v>856</v>
      </c>
    </row>
    <row r="91" spans="3:3" x14ac:dyDescent="0.3">
      <c r="C91" t="s">
        <v>857</v>
      </c>
    </row>
    <row r="92" spans="3:3" x14ac:dyDescent="0.3">
      <c r="C92" t="s">
        <v>858</v>
      </c>
    </row>
    <row r="93" spans="3:3" x14ac:dyDescent="0.3">
      <c r="C93" t="s">
        <v>859</v>
      </c>
    </row>
    <row r="94" spans="3:3" x14ac:dyDescent="0.3">
      <c r="C94" t="s">
        <v>817</v>
      </c>
    </row>
    <row r="95" spans="3:3" x14ac:dyDescent="0.3">
      <c r="C95" t="s">
        <v>860</v>
      </c>
    </row>
    <row r="96" spans="3:3" x14ac:dyDescent="0.3">
      <c r="C96" t="s">
        <v>861</v>
      </c>
    </row>
    <row r="97" spans="3:3" x14ac:dyDescent="0.3">
      <c r="C97" t="s">
        <v>862</v>
      </c>
    </row>
    <row r="98" spans="3:3" x14ac:dyDescent="0.3">
      <c r="C98" t="s">
        <v>863</v>
      </c>
    </row>
    <row r="99" spans="3:3" x14ac:dyDescent="0.3">
      <c r="C99" t="s">
        <v>864</v>
      </c>
    </row>
    <row r="100" spans="3:3" x14ac:dyDescent="0.3">
      <c r="C100" t="s">
        <v>73</v>
      </c>
    </row>
    <row r="101" spans="3:3" x14ac:dyDescent="0.3">
      <c r="C101" t="s">
        <v>865</v>
      </c>
    </row>
    <row r="102" spans="3:3" x14ac:dyDescent="0.3">
      <c r="C102" t="s">
        <v>866</v>
      </c>
    </row>
    <row r="103" spans="3:3" x14ac:dyDescent="0.3">
      <c r="C103" t="s">
        <v>867</v>
      </c>
    </row>
    <row r="104" spans="3:3" x14ac:dyDescent="0.3">
      <c r="C104" t="s">
        <v>868</v>
      </c>
    </row>
    <row r="105" spans="3:3" x14ac:dyDescent="0.3">
      <c r="C105" t="s">
        <v>73</v>
      </c>
    </row>
    <row r="106" spans="3:3" x14ac:dyDescent="0.3">
      <c r="C106" t="s">
        <v>836</v>
      </c>
    </row>
    <row r="107" spans="3:3" x14ac:dyDescent="0.3">
      <c r="C107" t="s">
        <v>837</v>
      </c>
    </row>
    <row r="108" spans="3:3" x14ac:dyDescent="0.3">
      <c r="C108" t="s">
        <v>838</v>
      </c>
    </row>
    <row r="109" spans="3:3" x14ac:dyDescent="0.3">
      <c r="C109" t="s">
        <v>839</v>
      </c>
    </row>
    <row r="110" spans="3:3" x14ac:dyDescent="0.3">
      <c r="C110" t="s">
        <v>840</v>
      </c>
    </row>
    <row r="111" spans="3:3" x14ac:dyDescent="0.3">
      <c r="C111" t="s">
        <v>841</v>
      </c>
    </row>
    <row r="112" spans="3:3" x14ac:dyDescent="0.3">
      <c r="C112" t="s">
        <v>842</v>
      </c>
    </row>
    <row r="113" spans="3:3" x14ac:dyDescent="0.3">
      <c r="C113" t="s">
        <v>843</v>
      </c>
    </row>
    <row r="114" spans="3:3" x14ac:dyDescent="0.3">
      <c r="C114" t="s">
        <v>844</v>
      </c>
    </row>
    <row r="115" spans="3:3" x14ac:dyDescent="0.3">
      <c r="C115" t="s">
        <v>845</v>
      </c>
    </row>
    <row r="116" spans="3:3" x14ac:dyDescent="0.3">
      <c r="C116" t="s">
        <v>846</v>
      </c>
    </row>
    <row r="117" spans="3:3" x14ac:dyDescent="0.3">
      <c r="C117" t="s">
        <v>847</v>
      </c>
    </row>
    <row r="118" spans="3:3" x14ac:dyDescent="0.3">
      <c r="C118" t="s">
        <v>848</v>
      </c>
    </row>
    <row r="119" spans="3:3" x14ac:dyDescent="0.3">
      <c r="C119" t="s">
        <v>849</v>
      </c>
    </row>
    <row r="120" spans="3:3" x14ac:dyDescent="0.3">
      <c r="C120" t="s">
        <v>850</v>
      </c>
    </row>
    <row r="121" spans="3:3" x14ac:dyDescent="0.3">
      <c r="C121" t="s">
        <v>851</v>
      </c>
    </row>
    <row r="122" spans="3:3" x14ac:dyDescent="0.3">
      <c r="C122" t="s">
        <v>852</v>
      </c>
    </row>
    <row r="123" spans="3:3" x14ac:dyDescent="0.3">
      <c r="C123" t="s">
        <v>869</v>
      </c>
    </row>
    <row r="124" spans="3:3" x14ac:dyDescent="0.3">
      <c r="C124" t="s">
        <v>839</v>
      </c>
    </row>
    <row r="125" spans="3:3" x14ac:dyDescent="0.3">
      <c r="C125" t="s">
        <v>854</v>
      </c>
    </row>
    <row r="126" spans="3:3" x14ac:dyDescent="0.3">
      <c r="C126" t="s">
        <v>855</v>
      </c>
    </row>
    <row r="127" spans="3:3" x14ac:dyDescent="0.3">
      <c r="C127" t="s">
        <v>856</v>
      </c>
    </row>
    <row r="128" spans="3:3" x14ac:dyDescent="0.3">
      <c r="C128" t="s">
        <v>857</v>
      </c>
    </row>
    <row r="129" spans="3:3" x14ac:dyDescent="0.3">
      <c r="C129" t="s">
        <v>858</v>
      </c>
    </row>
    <row r="130" spans="3:3" x14ac:dyDescent="0.3">
      <c r="C130" t="s">
        <v>870</v>
      </c>
    </row>
    <row r="131" spans="3:3" x14ac:dyDescent="0.3">
      <c r="C131" t="s">
        <v>817</v>
      </c>
    </row>
    <row r="132" spans="3:3" x14ac:dyDescent="0.3">
      <c r="C132" t="s">
        <v>871</v>
      </c>
    </row>
    <row r="133" spans="3:3" x14ac:dyDescent="0.3">
      <c r="C133" t="s">
        <v>872</v>
      </c>
    </row>
    <row r="134" spans="3:3" x14ac:dyDescent="0.3">
      <c r="C134" t="s">
        <v>873</v>
      </c>
    </row>
    <row r="135" spans="3:3" x14ac:dyDescent="0.3">
      <c r="C135" t="s">
        <v>874</v>
      </c>
    </row>
    <row r="136" spans="3:3" x14ac:dyDescent="0.3">
      <c r="C136" t="s">
        <v>875</v>
      </c>
    </row>
    <row r="137" spans="3:3" x14ac:dyDescent="0.3">
      <c r="C137" t="s">
        <v>73</v>
      </c>
    </row>
    <row r="138" spans="3:3" x14ac:dyDescent="0.3">
      <c r="C138" t="s">
        <v>876</v>
      </c>
    </row>
    <row r="139" spans="3:3" x14ac:dyDescent="0.3">
      <c r="C139" t="s">
        <v>877</v>
      </c>
    </row>
    <row r="140" spans="3:3" x14ac:dyDescent="0.3">
      <c r="C140" t="s">
        <v>878</v>
      </c>
    </row>
    <row r="141" spans="3:3" x14ac:dyDescent="0.3">
      <c r="C141" t="s">
        <v>879</v>
      </c>
    </row>
    <row r="142" spans="3:3" x14ac:dyDescent="0.3">
      <c r="C142" t="s">
        <v>880</v>
      </c>
    </row>
    <row r="143" spans="3:3" x14ac:dyDescent="0.3">
      <c r="C143" t="s">
        <v>881</v>
      </c>
    </row>
    <row r="144" spans="3:3" x14ac:dyDescent="0.3">
      <c r="C144" t="s">
        <v>882</v>
      </c>
    </row>
    <row r="145" spans="3:3" x14ac:dyDescent="0.3">
      <c r="C145" t="s">
        <v>883</v>
      </c>
    </row>
    <row r="146" spans="3:3" x14ac:dyDescent="0.3">
      <c r="C146" t="s">
        <v>884</v>
      </c>
    </row>
    <row r="147" spans="3:3" x14ac:dyDescent="0.3">
      <c r="C147" t="s">
        <v>885</v>
      </c>
    </row>
    <row r="148" spans="3:3" x14ac:dyDescent="0.3">
      <c r="C148" t="s">
        <v>886</v>
      </c>
    </row>
    <row r="149" spans="3:3" x14ac:dyDescent="0.3">
      <c r="C149" t="s">
        <v>887</v>
      </c>
    </row>
    <row r="150" spans="3:3" x14ac:dyDescent="0.3">
      <c r="C150" t="s">
        <v>888</v>
      </c>
    </row>
    <row r="151" spans="3:3" x14ac:dyDescent="0.3">
      <c r="C151" t="s">
        <v>889</v>
      </c>
    </row>
    <row r="152" spans="3:3" x14ac:dyDescent="0.3">
      <c r="C152" t="s">
        <v>890</v>
      </c>
    </row>
    <row r="153" spans="3:3" x14ac:dyDescent="0.3">
      <c r="C153" t="s">
        <v>891</v>
      </c>
    </row>
    <row r="154" spans="3:3" x14ac:dyDescent="0.3">
      <c r="C154" t="s">
        <v>892</v>
      </c>
    </row>
    <row r="155" spans="3:3" x14ac:dyDescent="0.3">
      <c r="C155" t="s">
        <v>893</v>
      </c>
    </row>
    <row r="156" spans="3:3" x14ac:dyDescent="0.3">
      <c r="C156" t="s">
        <v>894</v>
      </c>
    </row>
    <row r="157" spans="3:3" x14ac:dyDescent="0.3">
      <c r="C157" t="s">
        <v>895</v>
      </c>
    </row>
    <row r="158" spans="3:3" x14ac:dyDescent="0.3">
      <c r="C158" t="s">
        <v>896</v>
      </c>
    </row>
    <row r="159" spans="3:3" x14ac:dyDescent="0.3">
      <c r="C159" t="s">
        <v>73</v>
      </c>
    </row>
    <row r="160" spans="3:3" x14ac:dyDescent="0.3">
      <c r="C160" t="s">
        <v>831</v>
      </c>
    </row>
    <row r="161" spans="3:3" x14ac:dyDescent="0.3">
      <c r="C161" t="s">
        <v>897</v>
      </c>
    </row>
    <row r="162" spans="3:3" x14ac:dyDescent="0.3">
      <c r="C162" t="s">
        <v>898</v>
      </c>
    </row>
    <row r="163" spans="3:3" x14ac:dyDescent="0.3">
      <c r="C163" t="s">
        <v>73</v>
      </c>
    </row>
    <row r="164" spans="3:3" x14ac:dyDescent="0.3">
      <c r="C164" t="s">
        <v>865</v>
      </c>
    </row>
    <row r="165" spans="3:3" x14ac:dyDescent="0.3">
      <c r="C165" t="s">
        <v>899</v>
      </c>
    </row>
    <row r="166" spans="3:3" x14ac:dyDescent="0.3">
      <c r="C166" t="s">
        <v>824</v>
      </c>
    </row>
    <row r="167" spans="3:3" x14ac:dyDescent="0.3">
      <c r="C167" t="s">
        <v>900</v>
      </c>
    </row>
    <row r="168" spans="3:3" x14ac:dyDescent="0.3">
      <c r="C168" t="s">
        <v>901</v>
      </c>
    </row>
    <row r="169" spans="3:3" x14ac:dyDescent="0.3">
      <c r="C169" t="s">
        <v>902</v>
      </c>
    </row>
    <row r="170" spans="3:3" x14ac:dyDescent="0.3">
      <c r="C170" t="s">
        <v>903</v>
      </c>
    </row>
    <row r="171" spans="3:3" x14ac:dyDescent="0.3">
      <c r="C171" t="s">
        <v>904</v>
      </c>
    </row>
    <row r="172" spans="3:3" x14ac:dyDescent="0.3">
      <c r="C172" t="s">
        <v>905</v>
      </c>
    </row>
    <row r="173" spans="3:3" x14ac:dyDescent="0.3">
      <c r="C173" t="s">
        <v>906</v>
      </c>
    </row>
    <row r="174" spans="3:3" x14ac:dyDescent="0.3">
      <c r="C174" t="s">
        <v>907</v>
      </c>
    </row>
    <row r="175" spans="3:3" x14ac:dyDescent="0.3">
      <c r="C175" t="s">
        <v>908</v>
      </c>
    </row>
    <row r="176" spans="3:3" x14ac:dyDescent="0.3">
      <c r="C176" t="s">
        <v>909</v>
      </c>
    </row>
    <row r="177" spans="3:3" x14ac:dyDescent="0.3">
      <c r="C177" t="s">
        <v>910</v>
      </c>
    </row>
    <row r="178" spans="3:3" x14ac:dyDescent="0.3">
      <c r="C178" t="s">
        <v>911</v>
      </c>
    </row>
    <row r="179" spans="3:3" x14ac:dyDescent="0.3">
      <c r="C179" t="s">
        <v>912</v>
      </c>
    </row>
    <row r="180" spans="3:3" x14ac:dyDescent="0.3">
      <c r="C180" t="s">
        <v>913</v>
      </c>
    </row>
    <row r="181" spans="3:3" x14ac:dyDescent="0.3">
      <c r="C181" t="s">
        <v>914</v>
      </c>
    </row>
    <row r="182" spans="3:3" x14ac:dyDescent="0.3">
      <c r="C182" t="s">
        <v>895</v>
      </c>
    </row>
    <row r="183" spans="3:3" x14ac:dyDescent="0.3">
      <c r="C183" t="s">
        <v>915</v>
      </c>
    </row>
    <row r="184" spans="3:3" x14ac:dyDescent="0.3">
      <c r="C184" t="s">
        <v>73</v>
      </c>
    </row>
    <row r="185" spans="3:3" x14ac:dyDescent="0.3">
      <c r="C185" t="s">
        <v>836</v>
      </c>
    </row>
    <row r="186" spans="3:3" x14ac:dyDescent="0.3">
      <c r="C186" t="s">
        <v>837</v>
      </c>
    </row>
    <row r="187" spans="3:3" x14ac:dyDescent="0.3">
      <c r="C187" t="s">
        <v>838</v>
      </c>
    </row>
    <row r="188" spans="3:3" x14ac:dyDescent="0.3">
      <c r="C188" t="s">
        <v>839</v>
      </c>
    </row>
    <row r="189" spans="3:3" x14ac:dyDescent="0.3">
      <c r="C189" t="s">
        <v>840</v>
      </c>
    </row>
    <row r="190" spans="3:3" x14ac:dyDescent="0.3">
      <c r="C190" t="s">
        <v>841</v>
      </c>
    </row>
    <row r="191" spans="3:3" x14ac:dyDescent="0.3">
      <c r="C191" t="s">
        <v>842</v>
      </c>
    </row>
    <row r="192" spans="3:3" x14ac:dyDescent="0.3">
      <c r="C192" t="s">
        <v>843</v>
      </c>
    </row>
    <row r="193" spans="3:3" x14ac:dyDescent="0.3">
      <c r="C193" t="s">
        <v>844</v>
      </c>
    </row>
    <row r="194" spans="3:3" x14ac:dyDescent="0.3">
      <c r="C194" t="s">
        <v>845</v>
      </c>
    </row>
    <row r="195" spans="3:3" x14ac:dyDescent="0.3">
      <c r="C195" t="s">
        <v>846</v>
      </c>
    </row>
    <row r="196" spans="3:3" x14ac:dyDescent="0.3">
      <c r="C196" t="s">
        <v>847</v>
      </c>
    </row>
    <row r="197" spans="3:3" x14ac:dyDescent="0.3">
      <c r="C197" t="s">
        <v>848</v>
      </c>
    </row>
    <row r="198" spans="3:3" x14ac:dyDescent="0.3">
      <c r="C198" t="s">
        <v>849</v>
      </c>
    </row>
    <row r="199" spans="3:3" x14ac:dyDescent="0.3">
      <c r="C199" t="s">
        <v>850</v>
      </c>
    </row>
    <row r="200" spans="3:3" x14ac:dyDescent="0.3">
      <c r="C200" t="s">
        <v>851</v>
      </c>
    </row>
    <row r="201" spans="3:3" x14ac:dyDescent="0.3">
      <c r="C201" t="s">
        <v>916</v>
      </c>
    </row>
    <row r="202" spans="3:3" x14ac:dyDescent="0.3">
      <c r="C202" t="s">
        <v>917</v>
      </c>
    </row>
    <row r="203" spans="3:3" x14ac:dyDescent="0.3">
      <c r="C203" t="s">
        <v>839</v>
      </c>
    </row>
    <row r="204" spans="3:3" x14ac:dyDescent="0.3">
      <c r="C204" t="s">
        <v>854</v>
      </c>
    </row>
    <row r="205" spans="3:3" x14ac:dyDescent="0.3">
      <c r="C205" t="s">
        <v>855</v>
      </c>
    </row>
    <row r="206" spans="3:3" x14ac:dyDescent="0.3">
      <c r="C206" t="s">
        <v>856</v>
      </c>
    </row>
    <row r="207" spans="3:3" x14ac:dyDescent="0.3">
      <c r="C207" t="s">
        <v>857</v>
      </c>
    </row>
    <row r="208" spans="3:3" x14ac:dyDescent="0.3">
      <c r="C208" t="s">
        <v>858</v>
      </c>
    </row>
    <row r="209" spans="3:3" x14ac:dyDescent="0.3">
      <c r="C209" t="s">
        <v>918</v>
      </c>
    </row>
    <row r="210" spans="3:3" x14ac:dyDescent="0.3">
      <c r="C210" t="s">
        <v>817</v>
      </c>
    </row>
    <row r="211" spans="3:3" x14ac:dyDescent="0.3">
      <c r="C211" t="s">
        <v>919</v>
      </c>
    </row>
    <row r="212" spans="3:3" x14ac:dyDescent="0.3">
      <c r="C212" t="s">
        <v>920</v>
      </c>
    </row>
    <row r="213" spans="3:3" x14ac:dyDescent="0.3">
      <c r="C213" t="s">
        <v>921</v>
      </c>
    </row>
    <row r="214" spans="3:3" x14ac:dyDescent="0.3">
      <c r="C214" t="s">
        <v>922</v>
      </c>
    </row>
    <row r="215" spans="3:3" x14ac:dyDescent="0.3">
      <c r="C215" t="s">
        <v>923</v>
      </c>
    </row>
    <row r="216" spans="3:3" x14ac:dyDescent="0.3">
      <c r="C216" t="s">
        <v>73</v>
      </c>
    </row>
    <row r="217" spans="3:3" x14ac:dyDescent="0.3">
      <c r="C217" t="s">
        <v>924</v>
      </c>
    </row>
    <row r="218" spans="3:3" x14ac:dyDescent="0.3">
      <c r="C218" t="s">
        <v>824</v>
      </c>
    </row>
    <row r="219" spans="3:3" x14ac:dyDescent="0.3">
      <c r="C219" t="s">
        <v>825</v>
      </c>
    </row>
    <row r="220" spans="3:3" x14ac:dyDescent="0.3">
      <c r="C220" t="s">
        <v>827</v>
      </c>
    </row>
    <row r="221" spans="3:3" x14ac:dyDescent="0.3">
      <c r="C221" t="s">
        <v>925</v>
      </c>
    </row>
    <row r="222" spans="3:3" x14ac:dyDescent="0.3">
      <c r="C222" t="s">
        <v>926</v>
      </c>
    </row>
    <row r="223" spans="3:3" x14ac:dyDescent="0.3">
      <c r="C223" t="s">
        <v>73</v>
      </c>
    </row>
    <row r="224" spans="3:3" x14ac:dyDescent="0.3">
      <c r="C224" t="s">
        <v>831</v>
      </c>
    </row>
    <row r="225" spans="3:3" x14ac:dyDescent="0.3">
      <c r="C225" t="s">
        <v>927</v>
      </c>
    </row>
    <row r="226" spans="3:3" x14ac:dyDescent="0.3">
      <c r="C226" t="s">
        <v>928</v>
      </c>
    </row>
    <row r="227" spans="3:3" x14ac:dyDescent="0.3">
      <c r="C227" t="s">
        <v>73</v>
      </c>
    </row>
    <row r="228" spans="3:3" x14ac:dyDescent="0.3">
      <c r="C228" t="s">
        <v>836</v>
      </c>
    </row>
    <row r="229" spans="3:3" x14ac:dyDescent="0.3">
      <c r="C229" t="s">
        <v>837</v>
      </c>
    </row>
    <row r="230" spans="3:3" x14ac:dyDescent="0.3">
      <c r="C230" t="s">
        <v>838</v>
      </c>
    </row>
    <row r="231" spans="3:3" x14ac:dyDescent="0.3">
      <c r="C231" t="s">
        <v>839</v>
      </c>
    </row>
    <row r="232" spans="3:3" x14ac:dyDescent="0.3">
      <c r="C232" t="s">
        <v>840</v>
      </c>
    </row>
    <row r="233" spans="3:3" x14ac:dyDescent="0.3">
      <c r="C233" t="s">
        <v>841</v>
      </c>
    </row>
    <row r="234" spans="3:3" x14ac:dyDescent="0.3">
      <c r="C234" t="s">
        <v>842</v>
      </c>
    </row>
    <row r="235" spans="3:3" x14ac:dyDescent="0.3">
      <c r="C235" t="s">
        <v>843</v>
      </c>
    </row>
    <row r="236" spans="3:3" x14ac:dyDescent="0.3">
      <c r="C236" t="s">
        <v>844</v>
      </c>
    </row>
    <row r="237" spans="3:3" x14ac:dyDescent="0.3">
      <c r="C237" t="s">
        <v>845</v>
      </c>
    </row>
    <row r="238" spans="3:3" x14ac:dyDescent="0.3">
      <c r="C238" t="s">
        <v>846</v>
      </c>
    </row>
    <row r="239" spans="3:3" x14ac:dyDescent="0.3">
      <c r="C239" t="s">
        <v>847</v>
      </c>
    </row>
    <row r="240" spans="3:3" x14ac:dyDescent="0.3">
      <c r="C240" t="s">
        <v>848</v>
      </c>
    </row>
    <row r="241" spans="3:3" x14ac:dyDescent="0.3">
      <c r="C241" t="s">
        <v>849</v>
      </c>
    </row>
    <row r="242" spans="3:3" x14ac:dyDescent="0.3">
      <c r="C242" t="s">
        <v>850</v>
      </c>
    </row>
    <row r="243" spans="3:3" x14ac:dyDescent="0.3">
      <c r="C243" t="s">
        <v>851</v>
      </c>
    </row>
    <row r="244" spans="3:3" x14ac:dyDescent="0.3">
      <c r="C244" t="s">
        <v>852</v>
      </c>
    </row>
    <row r="245" spans="3:3" x14ac:dyDescent="0.3">
      <c r="C245" t="s">
        <v>853</v>
      </c>
    </row>
    <row r="246" spans="3:3" x14ac:dyDescent="0.3">
      <c r="C246" t="s">
        <v>839</v>
      </c>
    </row>
    <row r="247" spans="3:3" x14ac:dyDescent="0.3">
      <c r="C247" t="s">
        <v>854</v>
      </c>
    </row>
    <row r="248" spans="3:3" x14ac:dyDescent="0.3">
      <c r="C248" t="s">
        <v>855</v>
      </c>
    </row>
    <row r="249" spans="3:3" x14ac:dyDescent="0.3">
      <c r="C249" t="s">
        <v>856</v>
      </c>
    </row>
    <row r="250" spans="3:3" x14ac:dyDescent="0.3">
      <c r="C250" t="s">
        <v>857</v>
      </c>
    </row>
    <row r="251" spans="3:3" x14ac:dyDescent="0.3">
      <c r="C251" t="s">
        <v>858</v>
      </c>
    </row>
    <row r="252" spans="3:3" x14ac:dyDescent="0.3">
      <c r="C252" t="s">
        <v>929</v>
      </c>
    </row>
    <row r="253" spans="3:3" x14ac:dyDescent="0.3">
      <c r="C253" t="s">
        <v>817</v>
      </c>
    </row>
    <row r="254" spans="3:3" x14ac:dyDescent="0.3">
      <c r="C254" t="s">
        <v>930</v>
      </c>
    </row>
    <row r="255" spans="3:3" x14ac:dyDescent="0.3">
      <c r="C255" t="s">
        <v>931</v>
      </c>
    </row>
    <row r="256" spans="3:3" x14ac:dyDescent="0.3">
      <c r="C256" t="s">
        <v>932</v>
      </c>
    </row>
    <row r="257" spans="3:3" x14ac:dyDescent="0.3">
      <c r="C257" t="s">
        <v>933</v>
      </c>
    </row>
    <row r="258" spans="3:3" x14ac:dyDescent="0.3">
      <c r="C258" t="s">
        <v>934</v>
      </c>
    </row>
    <row r="259" spans="3:3" x14ac:dyDescent="0.3">
      <c r="C259" t="s">
        <v>73</v>
      </c>
    </row>
    <row r="260" spans="3:3" x14ac:dyDescent="0.3">
      <c r="C260" t="s">
        <v>865</v>
      </c>
    </row>
    <row r="261" spans="3:3" x14ac:dyDescent="0.3">
      <c r="C261" t="s">
        <v>51</v>
      </c>
    </row>
    <row r="262" spans="3:3" x14ac:dyDescent="0.3">
      <c r="C262" t="s">
        <v>935</v>
      </c>
    </row>
    <row r="263" spans="3:3" x14ac:dyDescent="0.3">
      <c r="C263" t="s">
        <v>936</v>
      </c>
    </row>
    <row r="264" spans="3:3" x14ac:dyDescent="0.3">
      <c r="C264" t="s">
        <v>937</v>
      </c>
    </row>
    <row r="265" spans="3:3" x14ac:dyDescent="0.3">
      <c r="C265" t="s">
        <v>938</v>
      </c>
    </row>
    <row r="266" spans="3:3" x14ac:dyDescent="0.3">
      <c r="C266" t="s">
        <v>939</v>
      </c>
    </row>
    <row r="267" spans="3:3" x14ac:dyDescent="0.3">
      <c r="C267" t="s">
        <v>940</v>
      </c>
    </row>
    <row r="268" spans="3:3" x14ac:dyDescent="0.3">
      <c r="C268" t="s">
        <v>941</v>
      </c>
    </row>
    <row r="269" spans="3:3" x14ac:dyDescent="0.3">
      <c r="C269" t="s">
        <v>942</v>
      </c>
    </row>
    <row r="270" spans="3:3" x14ac:dyDescent="0.3">
      <c r="C270" t="s">
        <v>943</v>
      </c>
    </row>
    <row r="271" spans="3:3" x14ac:dyDescent="0.3">
      <c r="C271" t="s">
        <v>944</v>
      </c>
    </row>
    <row r="272" spans="3:3" x14ac:dyDescent="0.3">
      <c r="C272" t="s">
        <v>945</v>
      </c>
    </row>
    <row r="273" spans="3:3" x14ac:dyDescent="0.3">
      <c r="C273" t="s">
        <v>946</v>
      </c>
    </row>
    <row r="274" spans="3:3" x14ac:dyDescent="0.3">
      <c r="C274" t="s">
        <v>947</v>
      </c>
    </row>
    <row r="275" spans="3:3" x14ac:dyDescent="0.3">
      <c r="C275" t="s">
        <v>948</v>
      </c>
    </row>
    <row r="276" spans="3:3" x14ac:dyDescent="0.3">
      <c r="C276" t="s">
        <v>949</v>
      </c>
    </row>
    <row r="277" spans="3:3" x14ac:dyDescent="0.3">
      <c r="C277" t="s">
        <v>950</v>
      </c>
    </row>
    <row r="278" spans="3:3" x14ac:dyDescent="0.3">
      <c r="C278" t="s">
        <v>951</v>
      </c>
    </row>
    <row r="279" spans="3:3" x14ac:dyDescent="0.3">
      <c r="C279" t="s">
        <v>952</v>
      </c>
    </row>
    <row r="280" spans="3:3" x14ac:dyDescent="0.3">
      <c r="C280" t="s">
        <v>953</v>
      </c>
    </row>
    <row r="281" spans="3:3" x14ac:dyDescent="0.3">
      <c r="C281" t="s">
        <v>954</v>
      </c>
    </row>
    <row r="282" spans="3:3" x14ac:dyDescent="0.3">
      <c r="C282" t="s">
        <v>73</v>
      </c>
    </row>
    <row r="283" spans="3:3" x14ac:dyDescent="0.3">
      <c r="C283" t="s">
        <v>831</v>
      </c>
    </row>
    <row r="284" spans="3:3" x14ac:dyDescent="0.3">
      <c r="C284" t="s">
        <v>955</v>
      </c>
    </row>
    <row r="285" spans="3:3" x14ac:dyDescent="0.3">
      <c r="C285" t="s">
        <v>956</v>
      </c>
    </row>
    <row r="286" spans="3:3" x14ac:dyDescent="0.3">
      <c r="C286" t="s">
        <v>73</v>
      </c>
    </row>
    <row r="287" spans="3:3" x14ac:dyDescent="0.3">
      <c r="C287" t="s">
        <v>836</v>
      </c>
    </row>
    <row r="288" spans="3:3" x14ac:dyDescent="0.3">
      <c r="C288" t="s">
        <v>837</v>
      </c>
    </row>
    <row r="289" spans="3:3" x14ac:dyDescent="0.3">
      <c r="C289" t="s">
        <v>838</v>
      </c>
    </row>
    <row r="290" spans="3:3" x14ac:dyDescent="0.3">
      <c r="C290" t="s">
        <v>839</v>
      </c>
    </row>
    <row r="291" spans="3:3" x14ac:dyDescent="0.3">
      <c r="C291" t="s">
        <v>840</v>
      </c>
    </row>
    <row r="292" spans="3:3" x14ac:dyDescent="0.3">
      <c r="C292" t="s">
        <v>841</v>
      </c>
    </row>
    <row r="293" spans="3:3" x14ac:dyDescent="0.3">
      <c r="C293" t="s">
        <v>842</v>
      </c>
    </row>
    <row r="294" spans="3:3" x14ac:dyDescent="0.3">
      <c r="C294" t="s">
        <v>843</v>
      </c>
    </row>
    <row r="295" spans="3:3" x14ac:dyDescent="0.3">
      <c r="C295" t="s">
        <v>844</v>
      </c>
    </row>
    <row r="296" spans="3:3" x14ac:dyDescent="0.3">
      <c r="C296" t="s">
        <v>845</v>
      </c>
    </row>
    <row r="297" spans="3:3" x14ac:dyDescent="0.3">
      <c r="C297" t="s">
        <v>846</v>
      </c>
    </row>
    <row r="298" spans="3:3" x14ac:dyDescent="0.3">
      <c r="C298" t="s">
        <v>847</v>
      </c>
    </row>
    <row r="299" spans="3:3" x14ac:dyDescent="0.3">
      <c r="C299" t="s">
        <v>848</v>
      </c>
    </row>
    <row r="300" spans="3:3" x14ac:dyDescent="0.3">
      <c r="C300" t="s">
        <v>849</v>
      </c>
    </row>
    <row r="301" spans="3:3" x14ac:dyDescent="0.3">
      <c r="C301" t="s">
        <v>850</v>
      </c>
    </row>
    <row r="302" spans="3:3" x14ac:dyDescent="0.3">
      <c r="C302" t="s">
        <v>851</v>
      </c>
    </row>
    <row r="303" spans="3:3" x14ac:dyDescent="0.3">
      <c r="C303" t="s">
        <v>852</v>
      </c>
    </row>
    <row r="304" spans="3:3" x14ac:dyDescent="0.3">
      <c r="C304" t="s">
        <v>853</v>
      </c>
    </row>
    <row r="305" spans="3:3" x14ac:dyDescent="0.3">
      <c r="C305" t="s">
        <v>839</v>
      </c>
    </row>
    <row r="306" spans="3:3" x14ac:dyDescent="0.3">
      <c r="C306" t="s">
        <v>854</v>
      </c>
    </row>
    <row r="307" spans="3:3" x14ac:dyDescent="0.3">
      <c r="C307" t="s">
        <v>855</v>
      </c>
    </row>
    <row r="308" spans="3:3" x14ac:dyDescent="0.3">
      <c r="C308" t="s">
        <v>856</v>
      </c>
    </row>
    <row r="309" spans="3:3" x14ac:dyDescent="0.3">
      <c r="C309" t="s">
        <v>857</v>
      </c>
    </row>
    <row r="310" spans="3:3" x14ac:dyDescent="0.3">
      <c r="C310" t="s">
        <v>858</v>
      </c>
    </row>
    <row r="311" spans="3:3" x14ac:dyDescent="0.3">
      <c r="C311" t="s">
        <v>957</v>
      </c>
    </row>
    <row r="312" spans="3:3" x14ac:dyDescent="0.3">
      <c r="C312" t="s">
        <v>817</v>
      </c>
    </row>
    <row r="313" spans="3:3" x14ac:dyDescent="0.3">
      <c r="C313" t="s">
        <v>958</v>
      </c>
    </row>
    <row r="314" spans="3:3" x14ac:dyDescent="0.3">
      <c r="C314" t="s">
        <v>959</v>
      </c>
    </row>
    <row r="315" spans="3:3" x14ac:dyDescent="0.3">
      <c r="C315" t="s">
        <v>960</v>
      </c>
    </row>
    <row r="316" spans="3:3" x14ac:dyDescent="0.3">
      <c r="C316" t="s">
        <v>961</v>
      </c>
    </row>
    <row r="317" spans="3:3" x14ac:dyDescent="0.3">
      <c r="C317" t="s">
        <v>962</v>
      </c>
    </row>
    <row r="318" spans="3:3" x14ac:dyDescent="0.3">
      <c r="C318" t="s">
        <v>73</v>
      </c>
    </row>
    <row r="319" spans="3:3" x14ac:dyDescent="0.3">
      <c r="C319" t="s">
        <v>823</v>
      </c>
    </row>
    <row r="320" spans="3:3" x14ac:dyDescent="0.3">
      <c r="C320" t="s">
        <v>824</v>
      </c>
    </row>
    <row r="321" spans="3:3" x14ac:dyDescent="0.3">
      <c r="C321" t="s">
        <v>825</v>
      </c>
    </row>
    <row r="322" spans="3:3" x14ac:dyDescent="0.3">
      <c r="C322" t="s">
        <v>826</v>
      </c>
    </row>
    <row r="323" spans="3:3" x14ac:dyDescent="0.3">
      <c r="C323" t="s">
        <v>827</v>
      </c>
    </row>
    <row r="324" spans="3:3" x14ac:dyDescent="0.3">
      <c r="C324" t="s">
        <v>828</v>
      </c>
    </row>
    <row r="325" spans="3:3" x14ac:dyDescent="0.3">
      <c r="C325" t="s">
        <v>829</v>
      </c>
    </row>
    <row r="326" spans="3:3" x14ac:dyDescent="0.3">
      <c r="C326" t="s">
        <v>963</v>
      </c>
    </row>
    <row r="327" spans="3:3" x14ac:dyDescent="0.3">
      <c r="C327" t="s">
        <v>73</v>
      </c>
    </row>
    <row r="328" spans="3:3" x14ac:dyDescent="0.3">
      <c r="C328" t="s">
        <v>831</v>
      </c>
    </row>
    <row r="329" spans="3:3" x14ac:dyDescent="0.3">
      <c r="C329" t="s">
        <v>964</v>
      </c>
    </row>
    <row r="330" spans="3:3" x14ac:dyDescent="0.3">
      <c r="C330" t="s">
        <v>965</v>
      </c>
    </row>
    <row r="331" spans="3:3" x14ac:dyDescent="0.3">
      <c r="C331" t="s">
        <v>966</v>
      </c>
    </row>
    <row r="332" spans="3:3" x14ac:dyDescent="0.3">
      <c r="C332" t="s">
        <v>967</v>
      </c>
    </row>
    <row r="333" spans="3:3" x14ac:dyDescent="0.3">
      <c r="C333" t="s">
        <v>73</v>
      </c>
    </row>
    <row r="334" spans="3:3" x14ac:dyDescent="0.3">
      <c r="C334" t="s">
        <v>836</v>
      </c>
    </row>
    <row r="335" spans="3:3" x14ac:dyDescent="0.3">
      <c r="C335" t="s">
        <v>837</v>
      </c>
    </row>
    <row r="336" spans="3:3" x14ac:dyDescent="0.3">
      <c r="C336" t="s">
        <v>838</v>
      </c>
    </row>
    <row r="337" spans="3:3" x14ac:dyDescent="0.3">
      <c r="C337" t="s">
        <v>839</v>
      </c>
    </row>
    <row r="338" spans="3:3" x14ac:dyDescent="0.3">
      <c r="C338" t="s">
        <v>840</v>
      </c>
    </row>
    <row r="339" spans="3:3" x14ac:dyDescent="0.3">
      <c r="C339" t="s">
        <v>841</v>
      </c>
    </row>
    <row r="340" spans="3:3" x14ac:dyDescent="0.3">
      <c r="C340" t="s">
        <v>842</v>
      </c>
    </row>
    <row r="341" spans="3:3" x14ac:dyDescent="0.3">
      <c r="C341" t="s">
        <v>843</v>
      </c>
    </row>
    <row r="342" spans="3:3" x14ac:dyDescent="0.3">
      <c r="C342" t="s">
        <v>844</v>
      </c>
    </row>
    <row r="343" spans="3:3" x14ac:dyDescent="0.3">
      <c r="C343" t="s">
        <v>845</v>
      </c>
    </row>
    <row r="344" spans="3:3" x14ac:dyDescent="0.3">
      <c r="C344" t="s">
        <v>968</v>
      </c>
    </row>
    <row r="345" spans="3:3" x14ac:dyDescent="0.3">
      <c r="C345" t="s">
        <v>847</v>
      </c>
    </row>
    <row r="346" spans="3:3" x14ac:dyDescent="0.3">
      <c r="C346" t="s">
        <v>848</v>
      </c>
    </row>
    <row r="347" spans="3:3" x14ac:dyDescent="0.3">
      <c r="C347" t="s">
        <v>849</v>
      </c>
    </row>
    <row r="348" spans="3:3" x14ac:dyDescent="0.3">
      <c r="C348" t="s">
        <v>850</v>
      </c>
    </row>
    <row r="349" spans="3:3" x14ac:dyDescent="0.3">
      <c r="C349" t="s">
        <v>851</v>
      </c>
    </row>
    <row r="350" spans="3:3" x14ac:dyDescent="0.3">
      <c r="C350" t="s">
        <v>852</v>
      </c>
    </row>
    <row r="351" spans="3:3" x14ac:dyDescent="0.3">
      <c r="C351" t="s">
        <v>853</v>
      </c>
    </row>
    <row r="352" spans="3:3" x14ac:dyDescent="0.3">
      <c r="C352" t="s">
        <v>839</v>
      </c>
    </row>
    <row r="353" spans="3:3" x14ac:dyDescent="0.3">
      <c r="C353" t="s">
        <v>854</v>
      </c>
    </row>
    <row r="354" spans="3:3" x14ac:dyDescent="0.3">
      <c r="C354" t="s">
        <v>855</v>
      </c>
    </row>
    <row r="355" spans="3:3" x14ac:dyDescent="0.3">
      <c r="C355" t="s">
        <v>856</v>
      </c>
    </row>
    <row r="356" spans="3:3" x14ac:dyDescent="0.3">
      <c r="C356" t="s">
        <v>857</v>
      </c>
    </row>
    <row r="357" spans="3:3" x14ac:dyDescent="0.3">
      <c r="C357" t="s">
        <v>858</v>
      </c>
    </row>
    <row r="358" spans="3:3" x14ac:dyDescent="0.3">
      <c r="C358" t="s">
        <v>969</v>
      </c>
    </row>
    <row r="359" spans="3:3" x14ac:dyDescent="0.3">
      <c r="C359" t="s">
        <v>817</v>
      </c>
    </row>
    <row r="360" spans="3:3" x14ac:dyDescent="0.3">
      <c r="C360" t="s">
        <v>970</v>
      </c>
    </row>
    <row r="361" spans="3:3" x14ac:dyDescent="0.3">
      <c r="C361" t="s">
        <v>971</v>
      </c>
    </row>
    <row r="362" spans="3:3" x14ac:dyDescent="0.3">
      <c r="C362" t="s">
        <v>972</v>
      </c>
    </row>
    <row r="363" spans="3:3" x14ac:dyDescent="0.3">
      <c r="C363" t="s">
        <v>973</v>
      </c>
    </row>
    <row r="364" spans="3:3" x14ac:dyDescent="0.3">
      <c r="C364" t="s">
        <v>974</v>
      </c>
    </row>
    <row r="365" spans="3:3" x14ac:dyDescent="0.3">
      <c r="C365" t="s">
        <v>73</v>
      </c>
    </row>
    <row r="366" spans="3:3" x14ac:dyDescent="0.3">
      <c r="C366" t="s">
        <v>823</v>
      </c>
    </row>
    <row r="367" spans="3:3" x14ac:dyDescent="0.3">
      <c r="C367" t="s">
        <v>824</v>
      </c>
    </row>
    <row r="368" spans="3:3" x14ac:dyDescent="0.3">
      <c r="C368" t="s">
        <v>825</v>
      </c>
    </row>
    <row r="369" spans="3:3" x14ac:dyDescent="0.3">
      <c r="C369" t="s">
        <v>826</v>
      </c>
    </row>
    <row r="370" spans="3:3" x14ac:dyDescent="0.3">
      <c r="C370" t="s">
        <v>827</v>
      </c>
    </row>
    <row r="371" spans="3:3" x14ac:dyDescent="0.3">
      <c r="C371" t="s">
        <v>828</v>
      </c>
    </row>
    <row r="372" spans="3:3" x14ac:dyDescent="0.3">
      <c r="C372" t="s">
        <v>829</v>
      </c>
    </row>
    <row r="373" spans="3:3" x14ac:dyDescent="0.3">
      <c r="C373" t="s">
        <v>975</v>
      </c>
    </row>
    <row r="374" spans="3:3" x14ac:dyDescent="0.3">
      <c r="C374" t="s">
        <v>73</v>
      </c>
    </row>
    <row r="375" spans="3:3" x14ac:dyDescent="0.3">
      <c r="C375" t="s">
        <v>831</v>
      </c>
    </row>
    <row r="376" spans="3:3" x14ac:dyDescent="0.3">
      <c r="C376" t="s">
        <v>976</v>
      </c>
    </row>
    <row r="377" spans="3:3" x14ac:dyDescent="0.3">
      <c r="C377" t="s">
        <v>977</v>
      </c>
    </row>
    <row r="378" spans="3:3" x14ac:dyDescent="0.3">
      <c r="C378" t="s">
        <v>978</v>
      </c>
    </row>
    <row r="379" spans="3:3" x14ac:dyDescent="0.3">
      <c r="C379" t="s">
        <v>979</v>
      </c>
    </row>
    <row r="380" spans="3:3" x14ac:dyDescent="0.3">
      <c r="C380" t="s">
        <v>73</v>
      </c>
    </row>
    <row r="381" spans="3:3" x14ac:dyDescent="0.3">
      <c r="C381" t="s">
        <v>836</v>
      </c>
    </row>
    <row r="382" spans="3:3" x14ac:dyDescent="0.3">
      <c r="C382" t="s">
        <v>837</v>
      </c>
    </row>
    <row r="383" spans="3:3" x14ac:dyDescent="0.3">
      <c r="C383" t="s">
        <v>838</v>
      </c>
    </row>
    <row r="384" spans="3:3" x14ac:dyDescent="0.3">
      <c r="C384" t="s">
        <v>839</v>
      </c>
    </row>
    <row r="385" spans="3:3" x14ac:dyDescent="0.3">
      <c r="C385" t="s">
        <v>840</v>
      </c>
    </row>
    <row r="386" spans="3:3" x14ac:dyDescent="0.3">
      <c r="C386" t="s">
        <v>841</v>
      </c>
    </row>
    <row r="387" spans="3:3" x14ac:dyDescent="0.3">
      <c r="C387" t="s">
        <v>842</v>
      </c>
    </row>
    <row r="388" spans="3:3" x14ac:dyDescent="0.3">
      <c r="C388" t="s">
        <v>843</v>
      </c>
    </row>
    <row r="389" spans="3:3" x14ac:dyDescent="0.3">
      <c r="C389" t="s">
        <v>844</v>
      </c>
    </row>
    <row r="390" spans="3:3" x14ac:dyDescent="0.3">
      <c r="C390" t="s">
        <v>980</v>
      </c>
    </row>
    <row r="391" spans="3:3" x14ac:dyDescent="0.3">
      <c r="C391" t="s">
        <v>968</v>
      </c>
    </row>
    <row r="392" spans="3:3" x14ac:dyDescent="0.3">
      <c r="C392" t="s">
        <v>847</v>
      </c>
    </row>
    <row r="393" spans="3:3" x14ac:dyDescent="0.3">
      <c r="C393" t="s">
        <v>848</v>
      </c>
    </row>
    <row r="394" spans="3:3" x14ac:dyDescent="0.3">
      <c r="C394" t="s">
        <v>849</v>
      </c>
    </row>
    <row r="395" spans="3:3" x14ac:dyDescent="0.3">
      <c r="C395" t="s">
        <v>850</v>
      </c>
    </row>
    <row r="396" spans="3:3" x14ac:dyDescent="0.3">
      <c r="C396" t="s">
        <v>851</v>
      </c>
    </row>
    <row r="397" spans="3:3" x14ac:dyDescent="0.3">
      <c r="C397" t="s">
        <v>852</v>
      </c>
    </row>
    <row r="398" spans="3:3" x14ac:dyDescent="0.3">
      <c r="C398" t="s">
        <v>853</v>
      </c>
    </row>
    <row r="399" spans="3:3" x14ac:dyDescent="0.3">
      <c r="C399" t="s">
        <v>839</v>
      </c>
    </row>
    <row r="400" spans="3:3" x14ac:dyDescent="0.3">
      <c r="C400" t="s">
        <v>854</v>
      </c>
    </row>
    <row r="401" spans="3:3" x14ac:dyDescent="0.3">
      <c r="C401" t="s">
        <v>855</v>
      </c>
    </row>
    <row r="402" spans="3:3" x14ac:dyDescent="0.3">
      <c r="C402" t="s">
        <v>856</v>
      </c>
    </row>
    <row r="403" spans="3:3" x14ac:dyDescent="0.3">
      <c r="C403" t="s">
        <v>857</v>
      </c>
    </row>
    <row r="404" spans="3:3" x14ac:dyDescent="0.3">
      <c r="C404" t="s">
        <v>858</v>
      </c>
    </row>
    <row r="405" spans="3:3" x14ac:dyDescent="0.3">
      <c r="C405" t="s">
        <v>981</v>
      </c>
    </row>
    <row r="406" spans="3:3" x14ac:dyDescent="0.3">
      <c r="C406" t="s">
        <v>817</v>
      </c>
    </row>
    <row r="407" spans="3:3" x14ac:dyDescent="0.3">
      <c r="C407" t="s">
        <v>982</v>
      </c>
    </row>
    <row r="408" spans="3:3" x14ac:dyDescent="0.3">
      <c r="C408" t="s">
        <v>983</v>
      </c>
    </row>
    <row r="409" spans="3:3" x14ac:dyDescent="0.3">
      <c r="C409" t="s">
        <v>984</v>
      </c>
    </row>
    <row r="410" spans="3:3" x14ac:dyDescent="0.3">
      <c r="C410" t="s">
        <v>985</v>
      </c>
    </row>
    <row r="411" spans="3:3" x14ac:dyDescent="0.3">
      <c r="C411" t="s">
        <v>986</v>
      </c>
    </row>
    <row r="412" spans="3:3" x14ac:dyDescent="0.3">
      <c r="C412" t="s">
        <v>73</v>
      </c>
    </row>
    <row r="413" spans="3:3" x14ac:dyDescent="0.3">
      <c r="C413" t="s">
        <v>865</v>
      </c>
    </row>
    <row r="414" spans="3:3" x14ac:dyDescent="0.3">
      <c r="C414" t="s">
        <v>866</v>
      </c>
    </row>
    <row r="415" spans="3:3" x14ac:dyDescent="0.3">
      <c r="C415" t="s">
        <v>987</v>
      </c>
    </row>
    <row r="416" spans="3:3" x14ac:dyDescent="0.3">
      <c r="C416" t="s">
        <v>988</v>
      </c>
    </row>
    <row r="417" spans="3:3" x14ac:dyDescent="0.3">
      <c r="C417" t="s">
        <v>73</v>
      </c>
    </row>
    <row r="418" spans="3:3" x14ac:dyDescent="0.3">
      <c r="C418" t="s">
        <v>836</v>
      </c>
    </row>
    <row r="419" spans="3:3" x14ac:dyDescent="0.3">
      <c r="C419" t="s">
        <v>837</v>
      </c>
    </row>
    <row r="420" spans="3:3" x14ac:dyDescent="0.3">
      <c r="C420" t="s">
        <v>838</v>
      </c>
    </row>
    <row r="421" spans="3:3" x14ac:dyDescent="0.3">
      <c r="C421" t="s">
        <v>839</v>
      </c>
    </row>
    <row r="422" spans="3:3" x14ac:dyDescent="0.3">
      <c r="C422" t="s">
        <v>840</v>
      </c>
    </row>
    <row r="423" spans="3:3" x14ac:dyDescent="0.3">
      <c r="C423" t="s">
        <v>841</v>
      </c>
    </row>
    <row r="424" spans="3:3" x14ac:dyDescent="0.3">
      <c r="C424" t="s">
        <v>842</v>
      </c>
    </row>
    <row r="425" spans="3:3" x14ac:dyDescent="0.3">
      <c r="C425" t="s">
        <v>843</v>
      </c>
    </row>
    <row r="426" spans="3:3" x14ac:dyDescent="0.3">
      <c r="C426" t="s">
        <v>844</v>
      </c>
    </row>
    <row r="427" spans="3:3" x14ac:dyDescent="0.3">
      <c r="C427" t="s">
        <v>845</v>
      </c>
    </row>
    <row r="428" spans="3:3" x14ac:dyDescent="0.3">
      <c r="C428" t="s">
        <v>989</v>
      </c>
    </row>
    <row r="429" spans="3:3" x14ac:dyDescent="0.3">
      <c r="C429" t="s">
        <v>847</v>
      </c>
    </row>
    <row r="430" spans="3:3" x14ac:dyDescent="0.3">
      <c r="C430" t="s">
        <v>848</v>
      </c>
    </row>
    <row r="431" spans="3:3" x14ac:dyDescent="0.3">
      <c r="C431" t="s">
        <v>849</v>
      </c>
    </row>
    <row r="432" spans="3:3" x14ac:dyDescent="0.3">
      <c r="C432" t="s">
        <v>850</v>
      </c>
    </row>
    <row r="433" spans="3:3" x14ac:dyDescent="0.3">
      <c r="C433" t="s">
        <v>851</v>
      </c>
    </row>
    <row r="434" spans="3:3" x14ac:dyDescent="0.3">
      <c r="C434" t="s">
        <v>852</v>
      </c>
    </row>
    <row r="435" spans="3:3" x14ac:dyDescent="0.3">
      <c r="C435" t="s">
        <v>869</v>
      </c>
    </row>
    <row r="436" spans="3:3" x14ac:dyDescent="0.3">
      <c r="C436" t="s">
        <v>839</v>
      </c>
    </row>
    <row r="437" spans="3:3" x14ac:dyDescent="0.3">
      <c r="C437" t="s">
        <v>854</v>
      </c>
    </row>
    <row r="438" spans="3:3" x14ac:dyDescent="0.3">
      <c r="C438" t="s">
        <v>855</v>
      </c>
    </row>
    <row r="439" spans="3:3" x14ac:dyDescent="0.3">
      <c r="C439" t="s">
        <v>856</v>
      </c>
    </row>
    <row r="440" spans="3:3" x14ac:dyDescent="0.3">
      <c r="C440" t="s">
        <v>857</v>
      </c>
    </row>
    <row r="441" spans="3:3" x14ac:dyDescent="0.3">
      <c r="C441" t="s">
        <v>858</v>
      </c>
    </row>
    <row r="442" spans="3:3" x14ac:dyDescent="0.3">
      <c r="C442" t="s">
        <v>990</v>
      </c>
    </row>
    <row r="443" spans="3:3" x14ac:dyDescent="0.3">
      <c r="C443" t="s">
        <v>817</v>
      </c>
    </row>
    <row r="444" spans="3:3" x14ac:dyDescent="0.3">
      <c r="C444" t="s">
        <v>991</v>
      </c>
    </row>
    <row r="445" spans="3:3" x14ac:dyDescent="0.3">
      <c r="C445" t="s">
        <v>992</v>
      </c>
    </row>
    <row r="446" spans="3:3" x14ac:dyDescent="0.3">
      <c r="C446" t="s">
        <v>993</v>
      </c>
    </row>
    <row r="447" spans="3:3" x14ac:dyDescent="0.3">
      <c r="C447" t="s">
        <v>994</v>
      </c>
    </row>
    <row r="448" spans="3:3" x14ac:dyDescent="0.3">
      <c r="C448" t="s">
        <v>995</v>
      </c>
    </row>
    <row r="449" spans="3:3" x14ac:dyDescent="0.3">
      <c r="C449" t="s">
        <v>73</v>
      </c>
    </row>
    <row r="450" spans="3:3" x14ac:dyDescent="0.3">
      <c r="C450" t="s">
        <v>865</v>
      </c>
    </row>
    <row r="451" spans="3:3" x14ac:dyDescent="0.3">
      <c r="C451" t="s">
        <v>866</v>
      </c>
    </row>
    <row r="452" spans="3:3" x14ac:dyDescent="0.3">
      <c r="C452" t="s">
        <v>996</v>
      </c>
    </row>
    <row r="453" spans="3:3" x14ac:dyDescent="0.3">
      <c r="C453" t="s">
        <v>997</v>
      </c>
    </row>
    <row r="454" spans="3:3" x14ac:dyDescent="0.3">
      <c r="C454" t="s">
        <v>73</v>
      </c>
    </row>
    <row r="455" spans="3:3" x14ac:dyDescent="0.3">
      <c r="C455" t="s">
        <v>836</v>
      </c>
    </row>
    <row r="456" spans="3:3" x14ac:dyDescent="0.3">
      <c r="C456" t="s">
        <v>837</v>
      </c>
    </row>
    <row r="457" spans="3:3" x14ac:dyDescent="0.3">
      <c r="C457" t="s">
        <v>838</v>
      </c>
    </row>
    <row r="458" spans="3:3" x14ac:dyDescent="0.3">
      <c r="C458" t="s">
        <v>839</v>
      </c>
    </row>
    <row r="459" spans="3:3" x14ac:dyDescent="0.3">
      <c r="C459" t="s">
        <v>840</v>
      </c>
    </row>
    <row r="460" spans="3:3" x14ac:dyDescent="0.3">
      <c r="C460" t="s">
        <v>841</v>
      </c>
    </row>
    <row r="461" spans="3:3" x14ac:dyDescent="0.3">
      <c r="C461" t="s">
        <v>842</v>
      </c>
    </row>
    <row r="462" spans="3:3" x14ac:dyDescent="0.3">
      <c r="C462" t="s">
        <v>843</v>
      </c>
    </row>
    <row r="463" spans="3:3" x14ac:dyDescent="0.3">
      <c r="C463" t="s">
        <v>844</v>
      </c>
    </row>
    <row r="464" spans="3:3" x14ac:dyDescent="0.3">
      <c r="C464" t="s">
        <v>845</v>
      </c>
    </row>
    <row r="465" spans="3:3" x14ac:dyDescent="0.3">
      <c r="C465" t="s">
        <v>989</v>
      </c>
    </row>
    <row r="466" spans="3:3" x14ac:dyDescent="0.3">
      <c r="C466" t="s">
        <v>998</v>
      </c>
    </row>
    <row r="467" spans="3:3" x14ac:dyDescent="0.3">
      <c r="C467" t="s">
        <v>848</v>
      </c>
    </row>
    <row r="468" spans="3:3" x14ac:dyDescent="0.3">
      <c r="C468" t="s">
        <v>849</v>
      </c>
    </row>
    <row r="469" spans="3:3" x14ac:dyDescent="0.3">
      <c r="C469" t="s">
        <v>850</v>
      </c>
    </row>
    <row r="470" spans="3:3" x14ac:dyDescent="0.3">
      <c r="C470" t="s">
        <v>851</v>
      </c>
    </row>
    <row r="471" spans="3:3" x14ac:dyDescent="0.3">
      <c r="C471" t="s">
        <v>852</v>
      </c>
    </row>
    <row r="472" spans="3:3" x14ac:dyDescent="0.3">
      <c r="C472" t="s">
        <v>869</v>
      </c>
    </row>
    <row r="473" spans="3:3" x14ac:dyDescent="0.3">
      <c r="C473" t="s">
        <v>839</v>
      </c>
    </row>
    <row r="474" spans="3:3" x14ac:dyDescent="0.3">
      <c r="C474" t="s">
        <v>854</v>
      </c>
    </row>
    <row r="475" spans="3:3" x14ac:dyDescent="0.3">
      <c r="C475" t="s">
        <v>855</v>
      </c>
    </row>
    <row r="476" spans="3:3" x14ac:dyDescent="0.3">
      <c r="C476" t="s">
        <v>856</v>
      </c>
    </row>
    <row r="477" spans="3:3" x14ac:dyDescent="0.3">
      <c r="C477" t="s">
        <v>857</v>
      </c>
    </row>
    <row r="478" spans="3:3" x14ac:dyDescent="0.3">
      <c r="C478" t="s">
        <v>858</v>
      </c>
    </row>
    <row r="479" spans="3:3" x14ac:dyDescent="0.3">
      <c r="C479" t="s">
        <v>999</v>
      </c>
    </row>
    <row r="480" spans="3:3" x14ac:dyDescent="0.3">
      <c r="C480" t="s">
        <v>817</v>
      </c>
    </row>
    <row r="481" spans="3:3" x14ac:dyDescent="0.3">
      <c r="C481" t="s">
        <v>1000</v>
      </c>
    </row>
    <row r="482" spans="3:3" x14ac:dyDescent="0.3">
      <c r="C482" t="s">
        <v>1001</v>
      </c>
    </row>
    <row r="483" spans="3:3" x14ac:dyDescent="0.3">
      <c r="C483" t="s">
        <v>1002</v>
      </c>
    </row>
    <row r="484" spans="3:3" x14ac:dyDescent="0.3">
      <c r="C484" t="s">
        <v>1003</v>
      </c>
    </row>
    <row r="485" spans="3:3" x14ac:dyDescent="0.3">
      <c r="C485" t="s">
        <v>1004</v>
      </c>
    </row>
    <row r="486" spans="3:3" x14ac:dyDescent="0.3">
      <c r="C486" t="s">
        <v>73</v>
      </c>
    </row>
    <row r="487" spans="3:3" x14ac:dyDescent="0.3">
      <c r="C487" t="s">
        <v>865</v>
      </c>
    </row>
    <row r="488" spans="3:3" x14ac:dyDescent="0.3">
      <c r="C488" t="s">
        <v>866</v>
      </c>
    </row>
    <row r="489" spans="3:3" x14ac:dyDescent="0.3">
      <c r="C489" t="s">
        <v>1005</v>
      </c>
    </row>
    <row r="490" spans="3:3" x14ac:dyDescent="0.3">
      <c r="C490" t="s">
        <v>1006</v>
      </c>
    </row>
    <row r="491" spans="3:3" x14ac:dyDescent="0.3">
      <c r="C491" t="s">
        <v>73</v>
      </c>
    </row>
    <row r="492" spans="3:3" x14ac:dyDescent="0.3">
      <c r="C492" t="s">
        <v>836</v>
      </c>
    </row>
    <row r="493" spans="3:3" x14ac:dyDescent="0.3">
      <c r="C493" t="s">
        <v>837</v>
      </c>
    </row>
    <row r="494" spans="3:3" x14ac:dyDescent="0.3">
      <c r="C494" t="s">
        <v>838</v>
      </c>
    </row>
    <row r="495" spans="3:3" x14ac:dyDescent="0.3">
      <c r="C495" t="s">
        <v>839</v>
      </c>
    </row>
    <row r="496" spans="3:3" x14ac:dyDescent="0.3">
      <c r="C496" t="s">
        <v>840</v>
      </c>
    </row>
    <row r="497" spans="3:3" x14ac:dyDescent="0.3">
      <c r="C497" t="s">
        <v>841</v>
      </c>
    </row>
    <row r="498" spans="3:3" x14ac:dyDescent="0.3">
      <c r="C498" t="s">
        <v>842</v>
      </c>
    </row>
    <row r="499" spans="3:3" x14ac:dyDescent="0.3">
      <c r="C499" t="s">
        <v>843</v>
      </c>
    </row>
    <row r="500" spans="3:3" x14ac:dyDescent="0.3">
      <c r="C500" t="s">
        <v>844</v>
      </c>
    </row>
    <row r="501" spans="3:3" x14ac:dyDescent="0.3">
      <c r="C501" t="s">
        <v>845</v>
      </c>
    </row>
    <row r="502" spans="3:3" x14ac:dyDescent="0.3">
      <c r="C502" t="s">
        <v>989</v>
      </c>
    </row>
    <row r="503" spans="3:3" x14ac:dyDescent="0.3">
      <c r="C503" t="s">
        <v>1007</v>
      </c>
    </row>
    <row r="504" spans="3:3" x14ac:dyDescent="0.3">
      <c r="C504" t="s">
        <v>848</v>
      </c>
    </row>
    <row r="505" spans="3:3" x14ac:dyDescent="0.3">
      <c r="C505" t="s">
        <v>849</v>
      </c>
    </row>
    <row r="506" spans="3:3" x14ac:dyDescent="0.3">
      <c r="C506" t="s">
        <v>850</v>
      </c>
    </row>
    <row r="507" spans="3:3" x14ac:dyDescent="0.3">
      <c r="C507" t="s">
        <v>851</v>
      </c>
    </row>
    <row r="508" spans="3:3" x14ac:dyDescent="0.3">
      <c r="C508" t="s">
        <v>852</v>
      </c>
    </row>
    <row r="509" spans="3:3" x14ac:dyDescent="0.3">
      <c r="C509" t="s">
        <v>869</v>
      </c>
    </row>
    <row r="510" spans="3:3" x14ac:dyDescent="0.3">
      <c r="C510" t="s">
        <v>839</v>
      </c>
    </row>
    <row r="511" spans="3:3" x14ac:dyDescent="0.3">
      <c r="C511" t="s">
        <v>854</v>
      </c>
    </row>
    <row r="512" spans="3:3" x14ac:dyDescent="0.3">
      <c r="C512" t="s">
        <v>855</v>
      </c>
    </row>
    <row r="513" spans="3:3" x14ac:dyDescent="0.3">
      <c r="C513" t="s">
        <v>856</v>
      </c>
    </row>
    <row r="514" spans="3:3" x14ac:dyDescent="0.3">
      <c r="C514" t="s">
        <v>857</v>
      </c>
    </row>
    <row r="515" spans="3:3" x14ac:dyDescent="0.3">
      <c r="C515" t="s">
        <v>858</v>
      </c>
    </row>
    <row r="516" spans="3:3" x14ac:dyDescent="0.3">
      <c r="C516" t="s">
        <v>1008</v>
      </c>
    </row>
    <row r="517" spans="3:3" x14ac:dyDescent="0.3">
      <c r="C517" t="s">
        <v>817</v>
      </c>
    </row>
    <row r="518" spans="3:3" x14ac:dyDescent="0.3">
      <c r="C518" t="s">
        <v>1009</v>
      </c>
    </row>
    <row r="519" spans="3:3" x14ac:dyDescent="0.3">
      <c r="C519" t="s">
        <v>1010</v>
      </c>
    </row>
    <row r="520" spans="3:3" x14ac:dyDescent="0.3">
      <c r="C520" t="s">
        <v>1011</v>
      </c>
    </row>
    <row r="521" spans="3:3" x14ac:dyDescent="0.3">
      <c r="C521" t="s">
        <v>1012</v>
      </c>
    </row>
    <row r="522" spans="3:3" x14ac:dyDescent="0.3">
      <c r="C522" t="s">
        <v>1013</v>
      </c>
    </row>
    <row r="523" spans="3:3" x14ac:dyDescent="0.3">
      <c r="C523" t="s">
        <v>73</v>
      </c>
    </row>
    <row r="524" spans="3:3" x14ac:dyDescent="0.3">
      <c r="C524" t="s">
        <v>865</v>
      </c>
    </row>
    <row r="525" spans="3:3" x14ac:dyDescent="0.3">
      <c r="C525" t="s">
        <v>866</v>
      </c>
    </row>
    <row r="526" spans="3:3" x14ac:dyDescent="0.3">
      <c r="C526" t="s">
        <v>1014</v>
      </c>
    </row>
    <row r="527" spans="3:3" x14ac:dyDescent="0.3">
      <c r="C527" t="s">
        <v>1015</v>
      </c>
    </row>
    <row r="528" spans="3:3" x14ac:dyDescent="0.3">
      <c r="C528" t="s">
        <v>73</v>
      </c>
    </row>
    <row r="529" spans="3:3" x14ac:dyDescent="0.3">
      <c r="C529" t="s">
        <v>836</v>
      </c>
    </row>
    <row r="530" spans="3:3" x14ac:dyDescent="0.3">
      <c r="C530" t="s">
        <v>837</v>
      </c>
    </row>
    <row r="531" spans="3:3" x14ac:dyDescent="0.3">
      <c r="C531" t="s">
        <v>838</v>
      </c>
    </row>
    <row r="532" spans="3:3" x14ac:dyDescent="0.3">
      <c r="C532" t="s">
        <v>839</v>
      </c>
    </row>
    <row r="533" spans="3:3" x14ac:dyDescent="0.3">
      <c r="C533" t="s">
        <v>840</v>
      </c>
    </row>
    <row r="534" spans="3:3" x14ac:dyDescent="0.3">
      <c r="C534" t="s">
        <v>841</v>
      </c>
    </row>
    <row r="535" spans="3:3" x14ac:dyDescent="0.3">
      <c r="C535" t="s">
        <v>842</v>
      </c>
    </row>
    <row r="536" spans="3:3" x14ac:dyDescent="0.3">
      <c r="C536" t="s">
        <v>843</v>
      </c>
    </row>
    <row r="537" spans="3:3" x14ac:dyDescent="0.3">
      <c r="C537" t="s">
        <v>844</v>
      </c>
    </row>
    <row r="538" spans="3:3" x14ac:dyDescent="0.3">
      <c r="C538" t="s">
        <v>845</v>
      </c>
    </row>
    <row r="539" spans="3:3" x14ac:dyDescent="0.3">
      <c r="C539" t="s">
        <v>1016</v>
      </c>
    </row>
    <row r="540" spans="3:3" x14ac:dyDescent="0.3">
      <c r="C540" t="s">
        <v>1007</v>
      </c>
    </row>
    <row r="541" spans="3:3" x14ac:dyDescent="0.3">
      <c r="C541" t="s">
        <v>848</v>
      </c>
    </row>
    <row r="542" spans="3:3" x14ac:dyDescent="0.3">
      <c r="C542" t="s">
        <v>849</v>
      </c>
    </row>
    <row r="543" spans="3:3" x14ac:dyDescent="0.3">
      <c r="C543" t="s">
        <v>850</v>
      </c>
    </row>
    <row r="544" spans="3:3" x14ac:dyDescent="0.3">
      <c r="C544" t="s">
        <v>851</v>
      </c>
    </row>
    <row r="545" spans="3:3" x14ac:dyDescent="0.3">
      <c r="C545" t="s">
        <v>852</v>
      </c>
    </row>
    <row r="546" spans="3:3" x14ac:dyDescent="0.3">
      <c r="C546" t="s">
        <v>869</v>
      </c>
    </row>
    <row r="547" spans="3:3" x14ac:dyDescent="0.3">
      <c r="C547" t="s">
        <v>839</v>
      </c>
    </row>
    <row r="548" spans="3:3" x14ac:dyDescent="0.3">
      <c r="C548" t="s">
        <v>854</v>
      </c>
    </row>
    <row r="549" spans="3:3" x14ac:dyDescent="0.3">
      <c r="C549" t="s">
        <v>855</v>
      </c>
    </row>
    <row r="550" spans="3:3" x14ac:dyDescent="0.3">
      <c r="C550" t="s">
        <v>856</v>
      </c>
    </row>
    <row r="551" spans="3:3" x14ac:dyDescent="0.3">
      <c r="C551" t="s">
        <v>857</v>
      </c>
    </row>
    <row r="552" spans="3:3" x14ac:dyDescent="0.3">
      <c r="C552" t="s">
        <v>858</v>
      </c>
    </row>
    <row r="553" spans="3:3" x14ac:dyDescent="0.3">
      <c r="C553" t="s">
        <v>1017</v>
      </c>
    </row>
    <row r="554" spans="3:3" x14ac:dyDescent="0.3">
      <c r="C554" t="s">
        <v>817</v>
      </c>
    </row>
    <row r="555" spans="3:3" x14ac:dyDescent="0.3">
      <c r="C555" t="s">
        <v>1018</v>
      </c>
    </row>
    <row r="556" spans="3:3" x14ac:dyDescent="0.3">
      <c r="C556" t="s">
        <v>1019</v>
      </c>
    </row>
    <row r="557" spans="3:3" x14ac:dyDescent="0.3">
      <c r="C557" t="s">
        <v>1020</v>
      </c>
    </row>
    <row r="558" spans="3:3" x14ac:dyDescent="0.3">
      <c r="C558" t="s">
        <v>1021</v>
      </c>
    </row>
    <row r="559" spans="3:3" x14ac:dyDescent="0.3">
      <c r="C559" t="s">
        <v>1022</v>
      </c>
    </row>
    <row r="560" spans="3:3" x14ac:dyDescent="0.3">
      <c r="C560" t="s">
        <v>73</v>
      </c>
    </row>
    <row r="561" spans="3:3" x14ac:dyDescent="0.3">
      <c r="C561" t="s">
        <v>865</v>
      </c>
    </row>
    <row r="562" spans="3:3" x14ac:dyDescent="0.3">
      <c r="C562" t="s">
        <v>866</v>
      </c>
    </row>
    <row r="563" spans="3:3" x14ac:dyDescent="0.3">
      <c r="C563" t="s">
        <v>1023</v>
      </c>
    </row>
    <row r="564" spans="3:3" x14ac:dyDescent="0.3">
      <c r="C564" t="s">
        <v>1024</v>
      </c>
    </row>
    <row r="565" spans="3:3" x14ac:dyDescent="0.3">
      <c r="C565" t="s">
        <v>73</v>
      </c>
    </row>
    <row r="566" spans="3:3" x14ac:dyDescent="0.3">
      <c r="C566" t="s">
        <v>836</v>
      </c>
    </row>
    <row r="567" spans="3:3" x14ac:dyDescent="0.3">
      <c r="C567" t="s">
        <v>837</v>
      </c>
    </row>
    <row r="568" spans="3:3" x14ac:dyDescent="0.3">
      <c r="C568" t="s">
        <v>838</v>
      </c>
    </row>
    <row r="569" spans="3:3" x14ac:dyDescent="0.3">
      <c r="C569" t="s">
        <v>839</v>
      </c>
    </row>
    <row r="570" spans="3:3" x14ac:dyDescent="0.3">
      <c r="C570" t="s">
        <v>840</v>
      </c>
    </row>
    <row r="571" spans="3:3" x14ac:dyDescent="0.3">
      <c r="C571" t="s">
        <v>841</v>
      </c>
    </row>
    <row r="572" spans="3:3" x14ac:dyDescent="0.3">
      <c r="C572" t="s">
        <v>842</v>
      </c>
    </row>
    <row r="573" spans="3:3" x14ac:dyDescent="0.3">
      <c r="C573" t="s">
        <v>843</v>
      </c>
    </row>
    <row r="574" spans="3:3" x14ac:dyDescent="0.3">
      <c r="C574" t="s">
        <v>844</v>
      </c>
    </row>
    <row r="575" spans="3:3" x14ac:dyDescent="0.3">
      <c r="C575" t="s">
        <v>845</v>
      </c>
    </row>
    <row r="576" spans="3:3" x14ac:dyDescent="0.3">
      <c r="C576" t="s">
        <v>1025</v>
      </c>
    </row>
    <row r="577" spans="3:3" x14ac:dyDescent="0.3">
      <c r="C577" t="s">
        <v>1026</v>
      </c>
    </row>
    <row r="578" spans="3:3" x14ac:dyDescent="0.3">
      <c r="C578" t="s">
        <v>848</v>
      </c>
    </row>
    <row r="579" spans="3:3" x14ac:dyDescent="0.3">
      <c r="C579" t="s">
        <v>849</v>
      </c>
    </row>
    <row r="580" spans="3:3" x14ac:dyDescent="0.3">
      <c r="C580" t="s">
        <v>850</v>
      </c>
    </row>
    <row r="581" spans="3:3" x14ac:dyDescent="0.3">
      <c r="C581" t="s">
        <v>851</v>
      </c>
    </row>
    <row r="582" spans="3:3" x14ac:dyDescent="0.3">
      <c r="C582" t="s">
        <v>852</v>
      </c>
    </row>
    <row r="583" spans="3:3" x14ac:dyDescent="0.3">
      <c r="C583" t="s">
        <v>869</v>
      </c>
    </row>
    <row r="584" spans="3:3" x14ac:dyDescent="0.3">
      <c r="C584" t="s">
        <v>839</v>
      </c>
    </row>
    <row r="585" spans="3:3" x14ac:dyDescent="0.3">
      <c r="C585" t="s">
        <v>854</v>
      </c>
    </row>
    <row r="586" spans="3:3" x14ac:dyDescent="0.3">
      <c r="C586" t="s">
        <v>855</v>
      </c>
    </row>
    <row r="587" spans="3:3" x14ac:dyDescent="0.3">
      <c r="C587" t="s">
        <v>856</v>
      </c>
    </row>
    <row r="588" spans="3:3" x14ac:dyDescent="0.3">
      <c r="C588" t="s">
        <v>857</v>
      </c>
    </row>
  </sheetData>
  <mergeCells count="4">
    <mergeCell ref="D25:N25"/>
    <mergeCell ref="D27:P27"/>
    <mergeCell ref="D29:P29"/>
    <mergeCell ref="D31:P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0D39-4DC6-4E57-BEFB-8C85807EB1AC}">
  <dimension ref="A1:MJ366"/>
  <sheetViews>
    <sheetView topLeftCell="D1" workbookViewId="0">
      <selection activeCell="Q19" sqref="Q19"/>
    </sheetView>
  </sheetViews>
  <sheetFormatPr defaultRowHeight="14.4" x14ac:dyDescent="0.3"/>
  <cols>
    <col min="2" max="2" width="13.77734375" bestFit="1" customWidth="1"/>
    <col min="5" max="5" width="11.109375" customWidth="1"/>
  </cols>
  <sheetData>
    <row r="1" spans="1:348" x14ac:dyDescent="0.3">
      <c r="D1" t="s">
        <v>116</v>
      </c>
    </row>
    <row r="2" spans="1:348" x14ac:dyDescent="0.3">
      <c r="A2" t="s">
        <v>117</v>
      </c>
      <c r="D2" t="s">
        <v>3</v>
      </c>
      <c r="E2" t="s">
        <v>1</v>
      </c>
      <c r="F2" t="s">
        <v>118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s">
        <v>127</v>
      </c>
      <c r="P2" t="s">
        <v>128</v>
      </c>
      <c r="Q2" t="s">
        <v>129</v>
      </c>
      <c r="R2" t="s">
        <v>130</v>
      </c>
      <c r="S2" t="s">
        <v>131</v>
      </c>
      <c r="T2" t="s">
        <v>132</v>
      </c>
      <c r="U2" t="s">
        <v>133</v>
      </c>
      <c r="V2" t="s">
        <v>134</v>
      </c>
      <c r="W2" t="s">
        <v>135</v>
      </c>
      <c r="X2" t="s">
        <v>136</v>
      </c>
      <c r="Y2" t="s">
        <v>137</v>
      </c>
      <c r="Z2" t="s">
        <v>138</v>
      </c>
      <c r="AA2" t="s">
        <v>139</v>
      </c>
      <c r="AB2" t="s">
        <v>140</v>
      </c>
      <c r="AC2" t="s">
        <v>141</v>
      </c>
      <c r="AD2" t="s">
        <v>142</v>
      </c>
      <c r="AE2" t="s">
        <v>143</v>
      </c>
      <c r="AF2" t="s">
        <v>144</v>
      </c>
      <c r="AG2" t="s">
        <v>145</v>
      </c>
      <c r="AH2" t="s">
        <v>146</v>
      </c>
      <c r="AI2" t="s">
        <v>147</v>
      </c>
      <c r="AJ2" t="s">
        <v>148</v>
      </c>
      <c r="AK2" t="s">
        <v>149</v>
      </c>
      <c r="AL2" t="s">
        <v>150</v>
      </c>
      <c r="AM2" t="s">
        <v>151</v>
      </c>
      <c r="AN2" t="s">
        <v>152</v>
      </c>
      <c r="AO2" t="s">
        <v>153</v>
      </c>
      <c r="AP2" t="s">
        <v>154</v>
      </c>
      <c r="AQ2" t="s">
        <v>155</v>
      </c>
      <c r="AR2" t="s">
        <v>156</v>
      </c>
      <c r="AS2" t="s">
        <v>157</v>
      </c>
      <c r="AT2" t="s">
        <v>158</v>
      </c>
      <c r="AU2" t="s">
        <v>159</v>
      </c>
      <c r="AV2" t="s">
        <v>160</v>
      </c>
      <c r="AW2" t="s">
        <v>161</v>
      </c>
      <c r="AX2" t="s">
        <v>162</v>
      </c>
      <c r="AY2" t="s">
        <v>163</v>
      </c>
      <c r="AZ2" t="s">
        <v>164</v>
      </c>
      <c r="BA2" t="s">
        <v>165</v>
      </c>
      <c r="BB2" t="s">
        <v>166</v>
      </c>
      <c r="BC2" t="s">
        <v>167</v>
      </c>
      <c r="BD2" t="s">
        <v>168</v>
      </c>
      <c r="BE2" t="s">
        <v>169</v>
      </c>
      <c r="BF2" t="s">
        <v>170</v>
      </c>
      <c r="BG2" t="s">
        <v>171</v>
      </c>
      <c r="BH2" t="s">
        <v>172</v>
      </c>
      <c r="BI2" t="s">
        <v>173</v>
      </c>
      <c r="BJ2" t="s">
        <v>174</v>
      </c>
      <c r="BK2" t="s">
        <v>175</v>
      </c>
      <c r="BL2" t="s">
        <v>176</v>
      </c>
      <c r="BM2" t="s">
        <v>177</v>
      </c>
      <c r="BN2" t="s">
        <v>178</v>
      </c>
      <c r="BO2" t="s">
        <v>179</v>
      </c>
      <c r="BP2" t="s">
        <v>180</v>
      </c>
      <c r="BQ2" t="s">
        <v>181</v>
      </c>
      <c r="BR2" t="s">
        <v>182</v>
      </c>
      <c r="BS2" t="s">
        <v>183</v>
      </c>
      <c r="BT2" t="s">
        <v>184</v>
      </c>
      <c r="BU2" t="s">
        <v>185</v>
      </c>
      <c r="BV2" t="s">
        <v>186</v>
      </c>
      <c r="BW2" t="s">
        <v>187</v>
      </c>
      <c r="BX2" t="s">
        <v>188</v>
      </c>
      <c r="BY2" t="s">
        <v>189</v>
      </c>
      <c r="BZ2" t="s">
        <v>190</v>
      </c>
      <c r="CA2" t="s">
        <v>191</v>
      </c>
      <c r="CB2" t="s">
        <v>192</v>
      </c>
      <c r="CC2" t="s">
        <v>193</v>
      </c>
      <c r="CD2" t="s">
        <v>194</v>
      </c>
      <c r="CE2" t="s">
        <v>195</v>
      </c>
      <c r="CF2" t="s">
        <v>196</v>
      </c>
      <c r="CG2" t="s">
        <v>197</v>
      </c>
      <c r="CH2" t="s">
        <v>198</v>
      </c>
      <c r="CI2" t="s">
        <v>199</v>
      </c>
      <c r="CJ2" t="s">
        <v>200</v>
      </c>
      <c r="CK2" t="s">
        <v>201</v>
      </c>
      <c r="CL2" t="s">
        <v>202</v>
      </c>
      <c r="CM2" t="s">
        <v>203</v>
      </c>
      <c r="CN2" t="s">
        <v>204</v>
      </c>
      <c r="CO2" t="s">
        <v>205</v>
      </c>
      <c r="CP2" t="s">
        <v>206</v>
      </c>
      <c r="CQ2" t="s">
        <v>207</v>
      </c>
      <c r="CR2" t="s">
        <v>208</v>
      </c>
      <c r="CS2" t="s">
        <v>209</v>
      </c>
      <c r="CT2" t="s">
        <v>210</v>
      </c>
      <c r="CU2" t="s">
        <v>211</v>
      </c>
      <c r="CV2" t="s">
        <v>212</v>
      </c>
      <c r="CW2" t="s">
        <v>213</v>
      </c>
      <c r="CX2" t="s">
        <v>214</v>
      </c>
      <c r="CY2" t="s">
        <v>215</v>
      </c>
      <c r="CZ2" t="s">
        <v>216</v>
      </c>
      <c r="DA2" t="s">
        <v>217</v>
      </c>
      <c r="DB2" t="s">
        <v>218</v>
      </c>
      <c r="DC2" t="s">
        <v>219</v>
      </c>
      <c r="DD2" t="s">
        <v>220</v>
      </c>
      <c r="DE2" t="s">
        <v>221</v>
      </c>
      <c r="DF2" t="s">
        <v>222</v>
      </c>
      <c r="DG2" t="s">
        <v>223</v>
      </c>
      <c r="DH2" t="s">
        <v>224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 t="s">
        <v>233</v>
      </c>
      <c r="DR2" t="s">
        <v>234</v>
      </c>
      <c r="DS2" t="s">
        <v>235</v>
      </c>
      <c r="DT2" t="s">
        <v>236</v>
      </c>
      <c r="DU2" t="s">
        <v>237</v>
      </c>
      <c r="DV2" t="s">
        <v>238</v>
      </c>
      <c r="DW2" t="s">
        <v>239</v>
      </c>
      <c r="DX2" t="s">
        <v>240</v>
      </c>
      <c r="DY2" t="s">
        <v>241</v>
      </c>
      <c r="DZ2" t="s">
        <v>242</v>
      </c>
      <c r="EA2" t="s">
        <v>243</v>
      </c>
      <c r="EB2" t="s">
        <v>244</v>
      </c>
      <c r="EC2" t="s">
        <v>245</v>
      </c>
      <c r="ED2" t="s">
        <v>246</v>
      </c>
      <c r="EE2" t="s">
        <v>247</v>
      </c>
      <c r="EF2" t="s">
        <v>248</v>
      </c>
      <c r="EG2" t="s">
        <v>249</v>
      </c>
      <c r="EH2" t="s">
        <v>250</v>
      </c>
      <c r="EI2" t="s">
        <v>251</v>
      </c>
      <c r="EJ2" t="s">
        <v>252</v>
      </c>
      <c r="EK2" t="s">
        <v>253</v>
      </c>
      <c r="EL2" t="s">
        <v>254</v>
      </c>
      <c r="EM2" t="s">
        <v>255</v>
      </c>
      <c r="EN2" t="s">
        <v>256</v>
      </c>
      <c r="EO2" t="s">
        <v>257</v>
      </c>
      <c r="EP2" t="s">
        <v>258</v>
      </c>
      <c r="EQ2" t="s">
        <v>259</v>
      </c>
      <c r="ER2" t="s">
        <v>260</v>
      </c>
      <c r="ES2" t="s">
        <v>261</v>
      </c>
      <c r="ET2" t="s">
        <v>262</v>
      </c>
      <c r="EU2" t="s">
        <v>263</v>
      </c>
      <c r="EV2" t="s">
        <v>264</v>
      </c>
      <c r="EW2" t="s">
        <v>265</v>
      </c>
      <c r="EX2" t="s">
        <v>266</v>
      </c>
      <c r="EY2" t="s">
        <v>267</v>
      </c>
      <c r="EZ2" t="s">
        <v>268</v>
      </c>
      <c r="FA2" t="s">
        <v>269</v>
      </c>
      <c r="FB2" t="s">
        <v>270</v>
      </c>
      <c r="FC2" t="s">
        <v>271</v>
      </c>
      <c r="FD2" t="s">
        <v>272</v>
      </c>
      <c r="FE2" t="s">
        <v>273</v>
      </c>
      <c r="FF2" t="s">
        <v>274</v>
      </c>
      <c r="FG2" t="s">
        <v>275</v>
      </c>
      <c r="FH2" t="s">
        <v>276</v>
      </c>
      <c r="FI2" t="s">
        <v>277</v>
      </c>
      <c r="FJ2" t="s">
        <v>278</v>
      </c>
      <c r="FK2" t="s">
        <v>279</v>
      </c>
      <c r="FL2" t="s">
        <v>280</v>
      </c>
      <c r="FM2" t="s">
        <v>281</v>
      </c>
      <c r="FN2" t="s">
        <v>282</v>
      </c>
      <c r="FO2" t="s">
        <v>283</v>
      </c>
      <c r="FP2" t="s">
        <v>284</v>
      </c>
      <c r="FQ2" t="s">
        <v>285</v>
      </c>
      <c r="FR2" t="s">
        <v>286</v>
      </c>
      <c r="FS2" t="s">
        <v>287</v>
      </c>
      <c r="FT2" t="s">
        <v>288</v>
      </c>
      <c r="FU2" t="s">
        <v>289</v>
      </c>
      <c r="FV2" t="s">
        <v>290</v>
      </c>
      <c r="FW2" t="s">
        <v>291</v>
      </c>
      <c r="FX2" t="s">
        <v>292</v>
      </c>
      <c r="FY2" t="s">
        <v>293</v>
      </c>
      <c r="FZ2" t="s">
        <v>294</v>
      </c>
      <c r="GA2" t="s">
        <v>295</v>
      </c>
      <c r="GB2" t="s">
        <v>296</v>
      </c>
      <c r="GC2" t="s">
        <v>297</v>
      </c>
      <c r="GD2" t="s">
        <v>298</v>
      </c>
      <c r="GE2" t="s">
        <v>299</v>
      </c>
      <c r="GF2" t="s">
        <v>300</v>
      </c>
      <c r="GG2" t="s">
        <v>301</v>
      </c>
      <c r="GH2" t="s">
        <v>302</v>
      </c>
      <c r="GI2" t="s">
        <v>303</v>
      </c>
      <c r="GJ2" t="s">
        <v>304</v>
      </c>
      <c r="GK2" t="s">
        <v>305</v>
      </c>
      <c r="GL2" t="s">
        <v>306</v>
      </c>
      <c r="GM2" t="s">
        <v>307</v>
      </c>
      <c r="GN2" t="s">
        <v>308</v>
      </c>
      <c r="GO2" t="s">
        <v>309</v>
      </c>
      <c r="GP2" t="s">
        <v>310</v>
      </c>
      <c r="GQ2" t="s">
        <v>311</v>
      </c>
      <c r="GR2" t="s">
        <v>312</v>
      </c>
      <c r="GS2" t="s">
        <v>313</v>
      </c>
      <c r="GT2" t="s">
        <v>314</v>
      </c>
      <c r="GU2" t="s">
        <v>315</v>
      </c>
      <c r="GV2" t="s">
        <v>316</v>
      </c>
      <c r="GW2" t="s">
        <v>317</v>
      </c>
      <c r="GX2" t="s">
        <v>318</v>
      </c>
      <c r="GY2" t="s">
        <v>319</v>
      </c>
      <c r="GZ2" t="s">
        <v>320</v>
      </c>
      <c r="HA2" t="s">
        <v>321</v>
      </c>
      <c r="HB2" t="s">
        <v>322</v>
      </c>
      <c r="HC2" t="s">
        <v>323</v>
      </c>
      <c r="HD2" t="s">
        <v>324</v>
      </c>
      <c r="HE2" t="s">
        <v>325</v>
      </c>
      <c r="HF2" t="s">
        <v>326</v>
      </c>
      <c r="HG2" t="s">
        <v>327</v>
      </c>
      <c r="HH2" t="s">
        <v>328</v>
      </c>
      <c r="HI2" t="s">
        <v>329</v>
      </c>
      <c r="HJ2" t="s">
        <v>330</v>
      </c>
      <c r="HK2" t="s">
        <v>331</v>
      </c>
      <c r="HL2" t="s">
        <v>332</v>
      </c>
      <c r="HM2" t="s">
        <v>333</v>
      </c>
      <c r="HN2" t="s">
        <v>334</v>
      </c>
      <c r="HO2" t="s">
        <v>335</v>
      </c>
      <c r="HP2" t="s">
        <v>336</v>
      </c>
      <c r="HQ2" t="s">
        <v>337</v>
      </c>
      <c r="HR2" t="s">
        <v>338</v>
      </c>
      <c r="HS2" t="s">
        <v>339</v>
      </c>
      <c r="HT2" t="s">
        <v>340</v>
      </c>
      <c r="HU2" t="s">
        <v>341</v>
      </c>
      <c r="HV2" t="s">
        <v>342</v>
      </c>
      <c r="HW2" t="s">
        <v>343</v>
      </c>
      <c r="HX2" t="s">
        <v>344</v>
      </c>
      <c r="HY2" t="s">
        <v>345</v>
      </c>
      <c r="HZ2" t="s">
        <v>346</v>
      </c>
      <c r="IA2" t="s">
        <v>347</v>
      </c>
      <c r="IB2" t="s">
        <v>348</v>
      </c>
      <c r="IC2" t="s">
        <v>349</v>
      </c>
      <c r="ID2" t="s">
        <v>350</v>
      </c>
      <c r="IE2" t="s">
        <v>351</v>
      </c>
      <c r="IF2" t="s">
        <v>352</v>
      </c>
      <c r="IG2" t="s">
        <v>353</v>
      </c>
      <c r="IH2" t="s">
        <v>354</v>
      </c>
      <c r="II2" t="s">
        <v>355</v>
      </c>
      <c r="IJ2" t="s">
        <v>356</v>
      </c>
      <c r="IK2" t="s">
        <v>357</v>
      </c>
      <c r="IL2" t="s">
        <v>358</v>
      </c>
      <c r="IM2" t="s">
        <v>359</v>
      </c>
      <c r="IN2" t="s">
        <v>360</v>
      </c>
      <c r="IO2" t="s">
        <v>361</v>
      </c>
      <c r="IP2" t="s">
        <v>362</v>
      </c>
      <c r="IQ2" t="s">
        <v>363</v>
      </c>
      <c r="IR2" t="s">
        <v>364</v>
      </c>
      <c r="IS2" t="s">
        <v>365</v>
      </c>
      <c r="IT2" t="s">
        <v>366</v>
      </c>
      <c r="IU2" t="s">
        <v>367</v>
      </c>
      <c r="IV2" t="s">
        <v>368</v>
      </c>
      <c r="IW2" t="s">
        <v>369</v>
      </c>
      <c r="IX2" t="s">
        <v>370</v>
      </c>
      <c r="IY2" t="s">
        <v>371</v>
      </c>
      <c r="IZ2" t="s">
        <v>372</v>
      </c>
      <c r="JA2" t="s">
        <v>373</v>
      </c>
      <c r="JB2" t="s">
        <v>374</v>
      </c>
      <c r="JC2" t="s">
        <v>375</v>
      </c>
      <c r="JD2" t="s">
        <v>376</v>
      </c>
      <c r="JE2" t="s">
        <v>377</v>
      </c>
      <c r="JF2" t="s">
        <v>378</v>
      </c>
      <c r="JG2" t="s">
        <v>379</v>
      </c>
      <c r="JH2" t="s">
        <v>380</v>
      </c>
      <c r="JI2" t="s">
        <v>381</v>
      </c>
      <c r="JJ2" t="s">
        <v>382</v>
      </c>
      <c r="JK2" t="s">
        <v>383</v>
      </c>
      <c r="JL2" t="s">
        <v>384</v>
      </c>
      <c r="JM2" t="s">
        <v>385</v>
      </c>
      <c r="JN2" t="s">
        <v>386</v>
      </c>
      <c r="JO2" t="s">
        <v>387</v>
      </c>
      <c r="JP2" t="s">
        <v>388</v>
      </c>
      <c r="JQ2" t="s">
        <v>389</v>
      </c>
      <c r="JR2" t="s">
        <v>390</v>
      </c>
      <c r="JS2" t="s">
        <v>391</v>
      </c>
      <c r="JT2" t="s">
        <v>392</v>
      </c>
      <c r="JU2" t="s">
        <v>393</v>
      </c>
      <c r="JV2" t="s">
        <v>394</v>
      </c>
      <c r="JW2" t="s">
        <v>395</v>
      </c>
      <c r="JX2" t="s">
        <v>396</v>
      </c>
      <c r="JY2" t="s">
        <v>397</v>
      </c>
      <c r="JZ2" t="s">
        <v>398</v>
      </c>
      <c r="KA2" t="s">
        <v>399</v>
      </c>
      <c r="KB2" t="s">
        <v>400</v>
      </c>
      <c r="KC2" t="s">
        <v>401</v>
      </c>
      <c r="KD2" t="s">
        <v>402</v>
      </c>
      <c r="KE2" t="s">
        <v>403</v>
      </c>
      <c r="KF2" t="s">
        <v>404</v>
      </c>
      <c r="KG2" t="s">
        <v>405</v>
      </c>
      <c r="KH2" t="s">
        <v>406</v>
      </c>
      <c r="KI2" t="s">
        <v>407</v>
      </c>
      <c r="KJ2" t="s">
        <v>408</v>
      </c>
      <c r="KK2" t="s">
        <v>409</v>
      </c>
      <c r="KL2" t="s">
        <v>410</v>
      </c>
      <c r="KM2" t="s">
        <v>411</v>
      </c>
      <c r="KN2" t="s">
        <v>412</v>
      </c>
      <c r="KO2" t="s">
        <v>413</v>
      </c>
      <c r="KP2" t="s">
        <v>414</v>
      </c>
      <c r="KQ2" t="s">
        <v>415</v>
      </c>
      <c r="KR2" t="s">
        <v>416</v>
      </c>
      <c r="KS2" t="s">
        <v>417</v>
      </c>
      <c r="KT2" t="s">
        <v>418</v>
      </c>
      <c r="KU2" t="s">
        <v>419</v>
      </c>
      <c r="KV2" t="s">
        <v>420</v>
      </c>
      <c r="KW2" t="s">
        <v>421</v>
      </c>
      <c r="KX2" t="s">
        <v>422</v>
      </c>
      <c r="KY2" t="s">
        <v>423</v>
      </c>
      <c r="KZ2" t="s">
        <v>424</v>
      </c>
      <c r="LA2" t="s">
        <v>425</v>
      </c>
      <c r="LB2" t="s">
        <v>426</v>
      </c>
      <c r="LC2" t="s">
        <v>427</v>
      </c>
      <c r="LD2" t="s">
        <v>428</v>
      </c>
      <c r="LE2" t="s">
        <v>429</v>
      </c>
      <c r="LF2" t="s">
        <v>430</v>
      </c>
      <c r="LG2" t="s">
        <v>431</v>
      </c>
      <c r="LH2" t="s">
        <v>432</v>
      </c>
      <c r="LI2" t="s">
        <v>433</v>
      </c>
      <c r="LJ2" t="s">
        <v>434</v>
      </c>
      <c r="LK2" t="s">
        <v>435</v>
      </c>
      <c r="LL2" t="s">
        <v>436</v>
      </c>
      <c r="LM2" t="s">
        <v>437</v>
      </c>
      <c r="LN2" t="s">
        <v>438</v>
      </c>
      <c r="LO2" t="s">
        <v>439</v>
      </c>
      <c r="LP2" t="s">
        <v>440</v>
      </c>
      <c r="LQ2" t="s">
        <v>441</v>
      </c>
      <c r="LR2" t="s">
        <v>442</v>
      </c>
      <c r="LS2" t="s">
        <v>443</v>
      </c>
      <c r="LT2" t="s">
        <v>444</v>
      </c>
      <c r="LU2" t="s">
        <v>445</v>
      </c>
      <c r="LV2" t="s">
        <v>446</v>
      </c>
      <c r="LW2" t="s">
        <v>447</v>
      </c>
      <c r="LX2" t="s">
        <v>448</v>
      </c>
      <c r="LY2" t="s">
        <v>449</v>
      </c>
      <c r="LZ2" t="s">
        <v>450</v>
      </c>
      <c r="MA2" t="s">
        <v>451</v>
      </c>
      <c r="MB2" t="s">
        <v>452</v>
      </c>
      <c r="MC2" t="s">
        <v>453</v>
      </c>
      <c r="MD2" t="s">
        <v>454</v>
      </c>
      <c r="ME2" t="s">
        <v>455</v>
      </c>
      <c r="MF2" t="s">
        <v>456</v>
      </c>
      <c r="MG2" t="s">
        <v>457</v>
      </c>
      <c r="MH2" s="18" t="s">
        <v>458</v>
      </c>
      <c r="MI2" s="18" t="s">
        <v>458</v>
      </c>
      <c r="MJ2" s="18" t="s">
        <v>459</v>
      </c>
    </row>
    <row r="3" spans="1:348" x14ac:dyDescent="0.3">
      <c r="B3" s="4"/>
      <c r="D3">
        <v>344637</v>
      </c>
      <c r="E3" s="4">
        <v>45565</v>
      </c>
      <c r="F3">
        <v>344637</v>
      </c>
      <c r="G3">
        <v>0</v>
      </c>
      <c r="H3">
        <v>0</v>
      </c>
      <c r="I3">
        <v>0</v>
      </c>
      <c r="J3">
        <v>344637</v>
      </c>
      <c r="K3">
        <v>0</v>
      </c>
      <c r="L3">
        <v>0</v>
      </c>
      <c r="M3">
        <v>0</v>
      </c>
      <c r="N3">
        <v>344637</v>
      </c>
      <c r="O3">
        <v>0</v>
      </c>
      <c r="P3">
        <v>0</v>
      </c>
      <c r="Q3">
        <v>0</v>
      </c>
      <c r="R3">
        <v>344637</v>
      </c>
      <c r="S3">
        <v>0</v>
      </c>
      <c r="T3">
        <v>0</v>
      </c>
      <c r="U3">
        <v>0</v>
      </c>
      <c r="V3">
        <v>344637</v>
      </c>
      <c r="W3">
        <v>0</v>
      </c>
      <c r="X3">
        <v>0</v>
      </c>
      <c r="Y3">
        <v>0</v>
      </c>
      <c r="Z3">
        <v>344637</v>
      </c>
      <c r="AA3">
        <v>0</v>
      </c>
      <c r="AB3">
        <v>0</v>
      </c>
      <c r="AC3">
        <v>0</v>
      </c>
      <c r="AD3">
        <v>344637</v>
      </c>
      <c r="AE3">
        <v>0</v>
      </c>
      <c r="AF3">
        <v>0</v>
      </c>
      <c r="AG3">
        <v>0</v>
      </c>
      <c r="AH3">
        <v>344637</v>
      </c>
      <c r="AI3">
        <v>0</v>
      </c>
      <c r="AJ3">
        <v>0</v>
      </c>
      <c r="AK3">
        <v>0</v>
      </c>
      <c r="AL3">
        <v>344637</v>
      </c>
      <c r="AM3">
        <v>0</v>
      </c>
      <c r="AN3">
        <v>0</v>
      </c>
      <c r="AO3">
        <v>0</v>
      </c>
      <c r="AP3">
        <v>344637</v>
      </c>
      <c r="AQ3">
        <v>0</v>
      </c>
      <c r="AR3">
        <v>0</v>
      </c>
      <c r="AS3">
        <v>0</v>
      </c>
      <c r="AT3">
        <v>344637</v>
      </c>
      <c r="AU3">
        <v>0</v>
      </c>
      <c r="AV3">
        <v>0</v>
      </c>
      <c r="AW3">
        <v>0</v>
      </c>
      <c r="AX3">
        <v>344637</v>
      </c>
      <c r="AY3">
        <v>0</v>
      </c>
      <c r="AZ3">
        <v>0</v>
      </c>
      <c r="BA3">
        <v>0</v>
      </c>
      <c r="BB3">
        <v>344637</v>
      </c>
      <c r="BC3">
        <v>0</v>
      </c>
      <c r="BD3">
        <v>0</v>
      </c>
      <c r="BE3">
        <v>0</v>
      </c>
      <c r="BF3">
        <v>344637</v>
      </c>
      <c r="BG3">
        <v>0</v>
      </c>
      <c r="BH3">
        <v>0</v>
      </c>
      <c r="BI3">
        <v>0</v>
      </c>
      <c r="BJ3">
        <v>344637</v>
      </c>
      <c r="BK3">
        <v>0</v>
      </c>
      <c r="BL3">
        <v>0</v>
      </c>
      <c r="BM3">
        <v>0</v>
      </c>
      <c r="BN3">
        <v>344637</v>
      </c>
      <c r="BO3">
        <v>0</v>
      </c>
      <c r="BP3">
        <v>0</v>
      </c>
      <c r="BQ3">
        <v>0</v>
      </c>
      <c r="BR3">
        <v>344637</v>
      </c>
      <c r="BS3">
        <v>0</v>
      </c>
      <c r="BT3">
        <v>0</v>
      </c>
      <c r="BU3">
        <v>0</v>
      </c>
      <c r="BV3">
        <v>344637</v>
      </c>
      <c r="BW3">
        <v>0</v>
      </c>
      <c r="BX3">
        <v>0</v>
      </c>
      <c r="BY3">
        <v>0</v>
      </c>
      <c r="BZ3">
        <v>344637</v>
      </c>
      <c r="CA3">
        <v>0</v>
      </c>
      <c r="CB3">
        <v>0</v>
      </c>
      <c r="CC3">
        <v>0</v>
      </c>
      <c r="CD3">
        <v>344637</v>
      </c>
      <c r="CE3">
        <v>0</v>
      </c>
      <c r="CF3">
        <v>0</v>
      </c>
      <c r="CG3">
        <v>0</v>
      </c>
      <c r="CH3">
        <v>344637</v>
      </c>
      <c r="CI3">
        <v>0</v>
      </c>
      <c r="CJ3">
        <v>0</v>
      </c>
      <c r="CK3">
        <v>0</v>
      </c>
      <c r="CL3">
        <v>344637</v>
      </c>
      <c r="CM3">
        <v>0</v>
      </c>
      <c r="CN3">
        <v>0</v>
      </c>
      <c r="CO3">
        <v>0</v>
      </c>
      <c r="CP3">
        <v>344637</v>
      </c>
      <c r="CQ3">
        <v>0</v>
      </c>
      <c r="CR3">
        <v>0</v>
      </c>
      <c r="CS3">
        <v>0</v>
      </c>
      <c r="CT3">
        <v>344637</v>
      </c>
      <c r="CU3">
        <v>0</v>
      </c>
      <c r="CV3">
        <v>0</v>
      </c>
      <c r="CW3">
        <v>0</v>
      </c>
      <c r="CX3">
        <v>344637</v>
      </c>
      <c r="CY3">
        <v>0</v>
      </c>
      <c r="CZ3">
        <v>0</v>
      </c>
      <c r="DA3">
        <v>0</v>
      </c>
      <c r="DB3">
        <v>344637</v>
      </c>
      <c r="DC3">
        <v>0</v>
      </c>
      <c r="DD3">
        <v>0</v>
      </c>
      <c r="DE3">
        <v>0</v>
      </c>
      <c r="DF3">
        <v>344637</v>
      </c>
      <c r="DG3">
        <v>0</v>
      </c>
      <c r="DH3">
        <v>0</v>
      </c>
      <c r="DI3">
        <v>0</v>
      </c>
      <c r="DJ3">
        <v>344637</v>
      </c>
      <c r="DK3">
        <v>0</v>
      </c>
      <c r="DL3">
        <v>0</v>
      </c>
      <c r="DM3">
        <v>0</v>
      </c>
      <c r="DN3">
        <v>344637</v>
      </c>
      <c r="DO3">
        <v>0</v>
      </c>
      <c r="DP3">
        <v>0</v>
      </c>
      <c r="DQ3">
        <v>0</v>
      </c>
      <c r="DR3">
        <v>344637</v>
      </c>
      <c r="DS3">
        <v>0</v>
      </c>
      <c r="DT3">
        <v>0</v>
      </c>
      <c r="DU3">
        <v>0</v>
      </c>
      <c r="DV3">
        <v>344637</v>
      </c>
      <c r="DW3">
        <v>0</v>
      </c>
      <c r="DX3">
        <v>0</v>
      </c>
      <c r="DY3">
        <v>0</v>
      </c>
      <c r="DZ3">
        <v>344637</v>
      </c>
      <c r="EA3">
        <v>0</v>
      </c>
      <c r="EB3">
        <v>0</v>
      </c>
      <c r="EC3">
        <v>0</v>
      </c>
      <c r="ED3">
        <v>344637</v>
      </c>
      <c r="EE3">
        <v>0</v>
      </c>
      <c r="EF3">
        <v>0</v>
      </c>
      <c r="EG3">
        <v>0</v>
      </c>
      <c r="EH3">
        <v>344637</v>
      </c>
      <c r="EI3">
        <v>0</v>
      </c>
      <c r="EJ3">
        <v>0</v>
      </c>
      <c r="EK3">
        <v>0</v>
      </c>
      <c r="EL3">
        <v>344637</v>
      </c>
      <c r="EM3">
        <v>0</v>
      </c>
      <c r="EN3">
        <v>0</v>
      </c>
      <c r="EO3">
        <v>0</v>
      </c>
      <c r="EP3">
        <v>344637</v>
      </c>
      <c r="EQ3">
        <v>0</v>
      </c>
      <c r="ER3">
        <v>0</v>
      </c>
      <c r="ES3">
        <v>0</v>
      </c>
      <c r="ET3">
        <v>344637</v>
      </c>
      <c r="EU3">
        <v>0</v>
      </c>
      <c r="EV3">
        <v>0</v>
      </c>
      <c r="EW3">
        <v>0</v>
      </c>
      <c r="EX3">
        <v>344637</v>
      </c>
      <c r="EY3">
        <v>0</v>
      </c>
      <c r="EZ3">
        <v>0</v>
      </c>
      <c r="FA3">
        <v>0</v>
      </c>
      <c r="FB3">
        <v>344637</v>
      </c>
      <c r="FC3">
        <v>0</v>
      </c>
      <c r="FD3">
        <v>0</v>
      </c>
      <c r="FE3">
        <v>0</v>
      </c>
      <c r="FF3">
        <v>344637</v>
      </c>
      <c r="FG3">
        <v>0</v>
      </c>
      <c r="FH3">
        <v>0</v>
      </c>
      <c r="FI3">
        <v>0</v>
      </c>
      <c r="FJ3">
        <v>344637</v>
      </c>
      <c r="FK3">
        <v>0</v>
      </c>
      <c r="FL3">
        <v>0</v>
      </c>
      <c r="FM3">
        <v>0</v>
      </c>
      <c r="FN3">
        <v>344637</v>
      </c>
      <c r="FO3">
        <v>0</v>
      </c>
      <c r="FP3">
        <v>0</v>
      </c>
      <c r="FQ3">
        <v>0</v>
      </c>
      <c r="FR3">
        <v>344637</v>
      </c>
      <c r="FS3">
        <v>0</v>
      </c>
      <c r="FT3">
        <v>0</v>
      </c>
      <c r="FU3">
        <v>0</v>
      </c>
      <c r="FV3">
        <v>344637</v>
      </c>
      <c r="FW3">
        <v>0</v>
      </c>
      <c r="FX3">
        <v>0</v>
      </c>
      <c r="FY3">
        <v>0</v>
      </c>
      <c r="FZ3">
        <v>344637</v>
      </c>
      <c r="GA3">
        <v>0</v>
      </c>
      <c r="GB3">
        <v>0</v>
      </c>
      <c r="GC3">
        <v>0</v>
      </c>
      <c r="GD3">
        <v>344637</v>
      </c>
      <c r="GE3">
        <v>0</v>
      </c>
      <c r="GF3">
        <v>0</v>
      </c>
      <c r="GG3">
        <v>0</v>
      </c>
      <c r="GH3">
        <v>344637</v>
      </c>
      <c r="GI3">
        <v>0</v>
      </c>
      <c r="GJ3">
        <v>0</v>
      </c>
      <c r="GK3">
        <v>0</v>
      </c>
      <c r="GL3">
        <v>344637</v>
      </c>
      <c r="GM3">
        <v>0</v>
      </c>
      <c r="GN3">
        <v>0</v>
      </c>
      <c r="GO3">
        <v>0</v>
      </c>
      <c r="GP3">
        <v>344637</v>
      </c>
      <c r="GQ3">
        <v>0</v>
      </c>
      <c r="GR3">
        <v>0</v>
      </c>
      <c r="GS3">
        <v>0</v>
      </c>
      <c r="GT3">
        <v>344637</v>
      </c>
      <c r="GU3">
        <v>0</v>
      </c>
      <c r="GV3">
        <v>0</v>
      </c>
      <c r="GW3">
        <v>0</v>
      </c>
      <c r="GX3">
        <v>344637</v>
      </c>
      <c r="GY3">
        <v>0</v>
      </c>
      <c r="GZ3">
        <v>0</v>
      </c>
      <c r="HA3">
        <v>0</v>
      </c>
      <c r="HB3">
        <v>344637</v>
      </c>
      <c r="HC3">
        <v>0</v>
      </c>
      <c r="HD3">
        <v>0</v>
      </c>
      <c r="HE3">
        <v>0</v>
      </c>
      <c r="HF3">
        <v>344637</v>
      </c>
      <c r="HG3">
        <v>0</v>
      </c>
      <c r="HH3">
        <v>0</v>
      </c>
      <c r="HI3">
        <v>0</v>
      </c>
      <c r="HJ3">
        <v>344637</v>
      </c>
      <c r="HK3">
        <v>0</v>
      </c>
      <c r="HL3">
        <v>0</v>
      </c>
      <c r="HM3">
        <v>0</v>
      </c>
      <c r="HN3">
        <v>344637</v>
      </c>
      <c r="HO3">
        <v>0</v>
      </c>
      <c r="HP3">
        <v>0</v>
      </c>
      <c r="HQ3">
        <v>0</v>
      </c>
      <c r="HR3">
        <v>344637</v>
      </c>
      <c r="HS3">
        <v>0</v>
      </c>
      <c r="HT3">
        <v>0</v>
      </c>
      <c r="HU3">
        <v>0</v>
      </c>
      <c r="HV3">
        <v>344637</v>
      </c>
      <c r="HW3">
        <v>0</v>
      </c>
      <c r="HX3">
        <v>0</v>
      </c>
      <c r="HY3">
        <v>0</v>
      </c>
      <c r="HZ3">
        <v>344637</v>
      </c>
      <c r="IA3">
        <v>0</v>
      </c>
      <c r="IB3">
        <v>0</v>
      </c>
      <c r="IC3">
        <v>0</v>
      </c>
      <c r="ID3">
        <v>344637</v>
      </c>
      <c r="IE3">
        <v>0</v>
      </c>
      <c r="IF3">
        <v>0</v>
      </c>
      <c r="IG3">
        <v>0</v>
      </c>
      <c r="IH3">
        <v>344637</v>
      </c>
      <c r="II3">
        <v>0</v>
      </c>
      <c r="IJ3">
        <v>0</v>
      </c>
      <c r="IK3">
        <v>0</v>
      </c>
      <c r="IL3">
        <v>344637</v>
      </c>
      <c r="IM3">
        <v>0</v>
      </c>
      <c r="IN3">
        <v>0</v>
      </c>
      <c r="IO3">
        <v>0</v>
      </c>
      <c r="IP3">
        <v>344637</v>
      </c>
      <c r="IQ3">
        <v>0</v>
      </c>
      <c r="IR3">
        <v>0</v>
      </c>
      <c r="IS3">
        <v>0</v>
      </c>
      <c r="IT3">
        <v>344637</v>
      </c>
      <c r="IU3">
        <v>0</v>
      </c>
      <c r="IV3">
        <v>0</v>
      </c>
      <c r="IW3">
        <v>0</v>
      </c>
      <c r="IX3">
        <v>344637</v>
      </c>
      <c r="IY3">
        <v>0</v>
      </c>
      <c r="IZ3">
        <v>0</v>
      </c>
      <c r="JA3">
        <v>0</v>
      </c>
      <c r="JB3">
        <v>344637</v>
      </c>
      <c r="JC3">
        <v>0</v>
      </c>
      <c r="JD3">
        <v>0</v>
      </c>
      <c r="JE3">
        <v>0</v>
      </c>
      <c r="JF3">
        <v>344637</v>
      </c>
      <c r="JG3">
        <v>0</v>
      </c>
      <c r="JH3">
        <v>0</v>
      </c>
      <c r="JI3">
        <v>0</v>
      </c>
      <c r="JJ3">
        <v>344637</v>
      </c>
      <c r="JK3">
        <v>0</v>
      </c>
      <c r="JL3">
        <v>0</v>
      </c>
      <c r="JM3">
        <v>0</v>
      </c>
      <c r="JN3">
        <v>344637</v>
      </c>
      <c r="JO3">
        <v>0</v>
      </c>
      <c r="JP3">
        <v>0</v>
      </c>
      <c r="JQ3">
        <v>0</v>
      </c>
      <c r="JR3">
        <v>344637</v>
      </c>
      <c r="JS3">
        <v>0</v>
      </c>
      <c r="JT3">
        <v>0</v>
      </c>
      <c r="JU3">
        <v>0</v>
      </c>
      <c r="JV3">
        <v>344637</v>
      </c>
      <c r="JW3">
        <v>0</v>
      </c>
      <c r="JX3">
        <v>0</v>
      </c>
      <c r="JY3">
        <v>0</v>
      </c>
      <c r="JZ3">
        <v>344637</v>
      </c>
      <c r="KA3">
        <v>0</v>
      </c>
      <c r="KB3">
        <v>0</v>
      </c>
      <c r="KC3">
        <v>0</v>
      </c>
      <c r="KD3">
        <v>344637</v>
      </c>
      <c r="KE3">
        <v>0</v>
      </c>
      <c r="KF3">
        <v>0</v>
      </c>
      <c r="KG3">
        <v>0</v>
      </c>
      <c r="KH3">
        <v>344637</v>
      </c>
      <c r="KI3">
        <v>0</v>
      </c>
      <c r="KJ3">
        <v>0</v>
      </c>
      <c r="KK3">
        <v>0</v>
      </c>
      <c r="KL3">
        <v>344637</v>
      </c>
      <c r="KM3">
        <v>0</v>
      </c>
      <c r="KN3">
        <v>0</v>
      </c>
      <c r="KO3">
        <v>0</v>
      </c>
      <c r="KP3">
        <v>344637</v>
      </c>
      <c r="KQ3">
        <v>0</v>
      </c>
      <c r="KR3">
        <v>0</v>
      </c>
      <c r="KS3">
        <v>0</v>
      </c>
      <c r="KT3">
        <v>344637</v>
      </c>
      <c r="KU3">
        <v>0</v>
      </c>
      <c r="KV3">
        <v>0</v>
      </c>
      <c r="KW3">
        <v>0</v>
      </c>
      <c r="KX3">
        <v>344637</v>
      </c>
      <c r="KY3">
        <v>0</v>
      </c>
      <c r="KZ3">
        <v>0</v>
      </c>
      <c r="LA3">
        <v>0</v>
      </c>
      <c r="LB3">
        <v>344637</v>
      </c>
      <c r="LC3">
        <v>0</v>
      </c>
      <c r="LD3">
        <v>0</v>
      </c>
      <c r="LE3">
        <v>0</v>
      </c>
      <c r="LF3">
        <v>344637</v>
      </c>
      <c r="LG3">
        <v>0</v>
      </c>
      <c r="LH3">
        <v>0</v>
      </c>
      <c r="LI3">
        <v>0</v>
      </c>
      <c r="LJ3">
        <v>344637</v>
      </c>
      <c r="LK3">
        <v>0</v>
      </c>
      <c r="LL3">
        <v>0</v>
      </c>
      <c r="LM3">
        <v>0</v>
      </c>
      <c r="LN3">
        <v>344637</v>
      </c>
      <c r="LO3">
        <v>0</v>
      </c>
      <c r="LP3">
        <v>0</v>
      </c>
      <c r="LQ3">
        <v>0</v>
      </c>
      <c r="LR3">
        <v>344637</v>
      </c>
      <c r="LS3">
        <v>0</v>
      </c>
      <c r="LT3">
        <v>0</v>
      </c>
      <c r="LU3">
        <v>0</v>
      </c>
      <c r="LV3">
        <v>0</v>
      </c>
      <c r="LW3">
        <v>344637</v>
      </c>
      <c r="LX3">
        <v>0</v>
      </c>
      <c r="LY3">
        <v>0</v>
      </c>
      <c r="LZ3">
        <v>0</v>
      </c>
      <c r="MA3">
        <v>344637</v>
      </c>
      <c r="MB3">
        <v>0</v>
      </c>
      <c r="MC3">
        <v>0</v>
      </c>
      <c r="MD3">
        <v>344637</v>
      </c>
      <c r="ME3" s="39">
        <v>0</v>
      </c>
      <c r="MF3" s="39">
        <v>0</v>
      </c>
      <c r="MG3">
        <v>0</v>
      </c>
      <c r="MH3" s="18" t="s">
        <v>460</v>
      </c>
      <c r="MI3" s="18" t="s">
        <v>461</v>
      </c>
      <c r="MJ3" s="18" t="s">
        <v>31</v>
      </c>
    </row>
    <row r="4" spans="1:348" x14ac:dyDescent="0.3">
      <c r="B4" s="4"/>
      <c r="E4" s="4"/>
      <c r="ME4" s="39"/>
      <c r="MF4" s="39"/>
      <c r="MH4" s="39"/>
      <c r="MI4" s="39"/>
    </row>
    <row r="5" spans="1:348" x14ac:dyDescent="0.3">
      <c r="D5" t="s">
        <v>462</v>
      </c>
    </row>
    <row r="6" spans="1:348" x14ac:dyDescent="0.3">
      <c r="D6" t="s">
        <v>3</v>
      </c>
      <c r="E6" t="s">
        <v>1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135</v>
      </c>
      <c r="X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144</v>
      </c>
      <c r="AG6" t="s">
        <v>145</v>
      </c>
      <c r="AH6" t="s">
        <v>146</v>
      </c>
      <c r="AI6" t="s">
        <v>147</v>
      </c>
      <c r="AJ6" t="s">
        <v>148</v>
      </c>
      <c r="AK6" t="s">
        <v>149</v>
      </c>
      <c r="AL6" t="s">
        <v>150</v>
      </c>
      <c r="AM6" t="s">
        <v>151</v>
      </c>
      <c r="AN6" t="s">
        <v>152</v>
      </c>
      <c r="AO6" t="s">
        <v>153</v>
      </c>
      <c r="AP6" t="s">
        <v>154</v>
      </c>
      <c r="AQ6" t="s">
        <v>155</v>
      </c>
      <c r="AR6" t="s">
        <v>156</v>
      </c>
      <c r="AS6" t="s">
        <v>157</v>
      </c>
      <c r="AT6" t="s">
        <v>158</v>
      </c>
      <c r="AU6" t="s">
        <v>159</v>
      </c>
      <c r="AV6" t="s">
        <v>160</v>
      </c>
      <c r="AW6" t="s">
        <v>161</v>
      </c>
      <c r="AX6" t="s">
        <v>162</v>
      </c>
      <c r="AY6" t="s">
        <v>163</v>
      </c>
      <c r="AZ6" t="s">
        <v>164</v>
      </c>
      <c r="BA6" t="s">
        <v>165</v>
      </c>
      <c r="BB6" t="s">
        <v>166</v>
      </c>
      <c r="BC6" t="s">
        <v>167</v>
      </c>
      <c r="BD6" t="s">
        <v>168</v>
      </c>
      <c r="BE6" t="s">
        <v>169</v>
      </c>
      <c r="BF6" t="s">
        <v>170</v>
      </c>
      <c r="BG6" t="s">
        <v>171</v>
      </c>
      <c r="BH6" t="s">
        <v>172</v>
      </c>
      <c r="BI6" t="s">
        <v>173</v>
      </c>
      <c r="BJ6" t="s">
        <v>174</v>
      </c>
      <c r="BK6" t="s">
        <v>175</v>
      </c>
      <c r="BL6" t="s">
        <v>176</v>
      </c>
      <c r="BM6" t="s">
        <v>177</v>
      </c>
      <c r="BN6" t="s">
        <v>178</v>
      </c>
      <c r="BO6" t="s">
        <v>179</v>
      </c>
      <c r="BP6" t="s">
        <v>180</v>
      </c>
      <c r="BQ6" t="s">
        <v>181</v>
      </c>
      <c r="BR6" t="s">
        <v>182</v>
      </c>
      <c r="BS6" t="s">
        <v>183</v>
      </c>
      <c r="BT6" t="s">
        <v>184</v>
      </c>
      <c r="BU6" t="s">
        <v>185</v>
      </c>
      <c r="BV6" t="s">
        <v>186</v>
      </c>
      <c r="BW6" t="s">
        <v>187</v>
      </c>
      <c r="BX6" t="s">
        <v>188</v>
      </c>
      <c r="BY6" t="s">
        <v>189</v>
      </c>
      <c r="BZ6" t="s">
        <v>190</v>
      </c>
      <c r="CA6" t="s">
        <v>191</v>
      </c>
      <c r="CB6" t="s">
        <v>192</v>
      </c>
      <c r="CC6" t="s">
        <v>193</v>
      </c>
      <c r="CD6" t="s">
        <v>194</v>
      </c>
      <c r="CE6" t="s">
        <v>195</v>
      </c>
      <c r="CF6" t="s">
        <v>196</v>
      </c>
      <c r="CG6" t="s">
        <v>197</v>
      </c>
      <c r="CH6" t="s">
        <v>198</v>
      </c>
      <c r="CI6" t="s">
        <v>199</v>
      </c>
      <c r="CJ6" t="s">
        <v>200</v>
      </c>
      <c r="CK6" t="s">
        <v>201</v>
      </c>
      <c r="CL6" t="s">
        <v>202</v>
      </c>
      <c r="CM6" t="s">
        <v>203</v>
      </c>
      <c r="CN6" t="s">
        <v>204</v>
      </c>
      <c r="CO6" t="s">
        <v>205</v>
      </c>
      <c r="CP6" t="s">
        <v>206</v>
      </c>
      <c r="CQ6" t="s">
        <v>207</v>
      </c>
      <c r="CR6" t="s">
        <v>208</v>
      </c>
      <c r="CS6" t="s">
        <v>209</v>
      </c>
      <c r="CT6" t="s">
        <v>210</v>
      </c>
      <c r="CU6" t="s">
        <v>211</v>
      </c>
      <c r="CV6" t="s">
        <v>212</v>
      </c>
      <c r="CW6" t="s">
        <v>213</v>
      </c>
      <c r="CX6" t="s">
        <v>214</v>
      </c>
      <c r="CY6" t="s">
        <v>215</v>
      </c>
      <c r="CZ6" t="s">
        <v>216</v>
      </c>
      <c r="DA6" t="s">
        <v>217</v>
      </c>
      <c r="DB6" t="s">
        <v>218</v>
      </c>
      <c r="DC6" t="s">
        <v>219</v>
      </c>
      <c r="DD6" t="s">
        <v>220</v>
      </c>
      <c r="DE6" t="s">
        <v>221</v>
      </c>
      <c r="DF6" t="s">
        <v>222</v>
      </c>
      <c r="DG6" t="s">
        <v>223</v>
      </c>
      <c r="DH6" t="s">
        <v>224</v>
      </c>
      <c r="DI6" t="s">
        <v>225</v>
      </c>
      <c r="DJ6" t="s">
        <v>226</v>
      </c>
      <c r="DK6" t="s">
        <v>227</v>
      </c>
      <c r="DL6" t="s">
        <v>228</v>
      </c>
      <c r="DM6" t="s">
        <v>229</v>
      </c>
      <c r="DN6" t="s">
        <v>230</v>
      </c>
      <c r="DO6" t="s">
        <v>231</v>
      </c>
      <c r="DP6" t="s">
        <v>232</v>
      </c>
      <c r="DQ6" t="s">
        <v>233</v>
      </c>
      <c r="DR6" t="s">
        <v>234</v>
      </c>
      <c r="DS6" t="s">
        <v>235</v>
      </c>
      <c r="DT6" t="s">
        <v>236</v>
      </c>
      <c r="DU6" t="s">
        <v>237</v>
      </c>
      <c r="DV6" t="s">
        <v>238</v>
      </c>
      <c r="DW6" t="s">
        <v>239</v>
      </c>
      <c r="DX6" t="s">
        <v>240</v>
      </c>
      <c r="DY6" t="s">
        <v>241</v>
      </c>
      <c r="DZ6" t="s">
        <v>242</v>
      </c>
      <c r="EA6" t="s">
        <v>243</v>
      </c>
      <c r="EB6" t="s">
        <v>244</v>
      </c>
      <c r="EC6" t="s">
        <v>245</v>
      </c>
      <c r="ED6" t="s">
        <v>246</v>
      </c>
      <c r="EE6" t="s">
        <v>247</v>
      </c>
      <c r="EF6" t="s">
        <v>248</v>
      </c>
      <c r="EG6" t="s">
        <v>249</v>
      </c>
      <c r="EH6" t="s">
        <v>250</v>
      </c>
      <c r="EI6" t="s">
        <v>251</v>
      </c>
      <c r="EJ6" t="s">
        <v>252</v>
      </c>
      <c r="EK6" t="s">
        <v>253</v>
      </c>
      <c r="EL6" t="s">
        <v>254</v>
      </c>
      <c r="EM6" t="s">
        <v>255</v>
      </c>
      <c r="EN6" t="s">
        <v>256</v>
      </c>
      <c r="EO6" t="s">
        <v>257</v>
      </c>
      <c r="EP6" t="s">
        <v>258</v>
      </c>
      <c r="EQ6" t="s">
        <v>259</v>
      </c>
      <c r="ER6" t="s">
        <v>260</v>
      </c>
      <c r="ES6" t="s">
        <v>261</v>
      </c>
      <c r="ET6" t="s">
        <v>262</v>
      </c>
      <c r="EU6" t="s">
        <v>263</v>
      </c>
      <c r="EV6" t="s">
        <v>264</v>
      </c>
      <c r="EW6" t="s">
        <v>265</v>
      </c>
      <c r="EX6" t="s">
        <v>266</v>
      </c>
      <c r="EY6" t="s">
        <v>267</v>
      </c>
      <c r="EZ6" t="s">
        <v>268</v>
      </c>
      <c r="FA6" t="s">
        <v>269</v>
      </c>
      <c r="FB6" t="s">
        <v>270</v>
      </c>
      <c r="FC6" t="s">
        <v>271</v>
      </c>
      <c r="FD6" t="s">
        <v>272</v>
      </c>
      <c r="FE6" t="s">
        <v>273</v>
      </c>
      <c r="FF6" t="s">
        <v>274</v>
      </c>
      <c r="FG6" t="s">
        <v>275</v>
      </c>
      <c r="FH6" t="s">
        <v>276</v>
      </c>
      <c r="FI6" t="s">
        <v>277</v>
      </c>
      <c r="FJ6" t="s">
        <v>278</v>
      </c>
      <c r="FK6" t="s">
        <v>279</v>
      </c>
      <c r="FL6" t="s">
        <v>280</v>
      </c>
      <c r="FM6" t="s">
        <v>281</v>
      </c>
      <c r="FN6" t="s">
        <v>282</v>
      </c>
      <c r="FO6" t="s">
        <v>283</v>
      </c>
      <c r="FP6" t="s">
        <v>284</v>
      </c>
      <c r="FQ6" t="s">
        <v>285</v>
      </c>
      <c r="FR6" t="s">
        <v>286</v>
      </c>
      <c r="FS6" t="s">
        <v>287</v>
      </c>
      <c r="FT6" t="s">
        <v>288</v>
      </c>
      <c r="FU6" t="s">
        <v>289</v>
      </c>
      <c r="FV6" t="s">
        <v>290</v>
      </c>
      <c r="FW6" t="s">
        <v>291</v>
      </c>
      <c r="FX6" t="s">
        <v>292</v>
      </c>
      <c r="FY6" t="s">
        <v>293</v>
      </c>
      <c r="FZ6" t="s">
        <v>294</v>
      </c>
      <c r="GA6" t="s">
        <v>295</v>
      </c>
      <c r="GB6" t="s">
        <v>296</v>
      </c>
      <c r="GC6" t="s">
        <v>297</v>
      </c>
      <c r="GD6" t="s">
        <v>298</v>
      </c>
      <c r="GE6" t="s">
        <v>299</v>
      </c>
      <c r="GF6" t="s">
        <v>300</v>
      </c>
      <c r="GG6" t="s">
        <v>301</v>
      </c>
      <c r="GH6" t="s">
        <v>302</v>
      </c>
      <c r="GI6" t="s">
        <v>303</v>
      </c>
      <c r="GJ6" t="s">
        <v>304</v>
      </c>
      <c r="GK6" t="s">
        <v>305</v>
      </c>
      <c r="GL6" t="s">
        <v>306</v>
      </c>
      <c r="GM6" t="s">
        <v>307</v>
      </c>
      <c r="GN6" t="s">
        <v>308</v>
      </c>
      <c r="GO6" t="s">
        <v>309</v>
      </c>
      <c r="GP6" t="s">
        <v>310</v>
      </c>
      <c r="GQ6" t="s">
        <v>311</v>
      </c>
      <c r="GR6" t="s">
        <v>312</v>
      </c>
      <c r="GS6" t="s">
        <v>313</v>
      </c>
      <c r="GT6" t="s">
        <v>314</v>
      </c>
      <c r="GU6" t="s">
        <v>315</v>
      </c>
      <c r="GV6" t="s">
        <v>316</v>
      </c>
      <c r="GW6" t="s">
        <v>317</v>
      </c>
      <c r="GX6" t="s">
        <v>318</v>
      </c>
      <c r="GY6" t="s">
        <v>319</v>
      </c>
      <c r="GZ6" t="s">
        <v>320</v>
      </c>
      <c r="HA6" t="s">
        <v>321</v>
      </c>
      <c r="HB6" t="s">
        <v>322</v>
      </c>
      <c r="HC6" t="s">
        <v>323</v>
      </c>
      <c r="HD6" t="s">
        <v>324</v>
      </c>
      <c r="HE6" t="s">
        <v>325</v>
      </c>
      <c r="HF6" t="s">
        <v>326</v>
      </c>
      <c r="HG6" t="s">
        <v>327</v>
      </c>
      <c r="HH6" t="s">
        <v>328</v>
      </c>
      <c r="HI6" t="s">
        <v>329</v>
      </c>
      <c r="HJ6" t="s">
        <v>330</v>
      </c>
      <c r="HK6" t="s">
        <v>331</v>
      </c>
      <c r="HL6" t="s">
        <v>332</v>
      </c>
      <c r="HM6" t="s">
        <v>333</v>
      </c>
      <c r="HN6" t="s">
        <v>334</v>
      </c>
      <c r="HO6" t="s">
        <v>335</v>
      </c>
      <c r="HP6" t="s">
        <v>336</v>
      </c>
      <c r="HQ6" t="s">
        <v>337</v>
      </c>
      <c r="HR6" t="s">
        <v>338</v>
      </c>
      <c r="HS6" t="s">
        <v>339</v>
      </c>
      <c r="HT6" t="s">
        <v>340</v>
      </c>
      <c r="HU6" t="s">
        <v>341</v>
      </c>
      <c r="HV6" t="s">
        <v>342</v>
      </c>
      <c r="HW6" t="s">
        <v>343</v>
      </c>
      <c r="HX6" t="s">
        <v>344</v>
      </c>
      <c r="HY6" t="s">
        <v>345</v>
      </c>
      <c r="HZ6" t="s">
        <v>346</v>
      </c>
      <c r="IA6" t="s">
        <v>347</v>
      </c>
      <c r="IB6" t="s">
        <v>348</v>
      </c>
      <c r="IC6" t="s">
        <v>349</v>
      </c>
      <c r="ID6" t="s">
        <v>350</v>
      </c>
      <c r="IE6" t="s">
        <v>351</v>
      </c>
      <c r="IF6" t="s">
        <v>352</v>
      </c>
      <c r="IG6" t="s">
        <v>353</v>
      </c>
      <c r="IH6" t="s">
        <v>354</v>
      </c>
      <c r="II6" t="s">
        <v>355</v>
      </c>
      <c r="IJ6" t="s">
        <v>356</v>
      </c>
      <c r="IK6" t="s">
        <v>357</v>
      </c>
      <c r="IL6" t="s">
        <v>358</v>
      </c>
      <c r="IM6" t="s">
        <v>359</v>
      </c>
      <c r="IN6" t="s">
        <v>360</v>
      </c>
      <c r="IO6" t="s">
        <v>361</v>
      </c>
      <c r="IP6" t="s">
        <v>362</v>
      </c>
      <c r="IQ6" t="s">
        <v>363</v>
      </c>
      <c r="IR6" t="s">
        <v>364</v>
      </c>
      <c r="IS6" t="s">
        <v>365</v>
      </c>
      <c r="IT6" t="s">
        <v>366</v>
      </c>
      <c r="IU6" t="s">
        <v>367</v>
      </c>
      <c r="IV6" t="s">
        <v>368</v>
      </c>
      <c r="IW6" t="s">
        <v>369</v>
      </c>
      <c r="IX6" t="s">
        <v>370</v>
      </c>
      <c r="IY6" t="s">
        <v>371</v>
      </c>
      <c r="IZ6" t="s">
        <v>372</v>
      </c>
      <c r="JA6" t="s">
        <v>373</v>
      </c>
      <c r="JB6" t="s">
        <v>374</v>
      </c>
      <c r="JC6" t="s">
        <v>375</v>
      </c>
      <c r="JD6" t="s">
        <v>376</v>
      </c>
      <c r="JE6" t="s">
        <v>377</v>
      </c>
      <c r="JF6" t="s">
        <v>378</v>
      </c>
      <c r="JG6" t="s">
        <v>379</v>
      </c>
      <c r="JH6" t="s">
        <v>380</v>
      </c>
      <c r="JI6" t="s">
        <v>381</v>
      </c>
      <c r="JJ6" t="s">
        <v>382</v>
      </c>
      <c r="JK6" t="s">
        <v>383</v>
      </c>
      <c r="JL6" t="s">
        <v>384</v>
      </c>
      <c r="JM6" t="s">
        <v>385</v>
      </c>
      <c r="JN6" t="s">
        <v>386</v>
      </c>
      <c r="JO6" t="s">
        <v>387</v>
      </c>
      <c r="JP6" t="s">
        <v>388</v>
      </c>
      <c r="JQ6" t="s">
        <v>389</v>
      </c>
      <c r="JR6" t="s">
        <v>390</v>
      </c>
      <c r="JS6" t="s">
        <v>391</v>
      </c>
      <c r="JT6" t="s">
        <v>392</v>
      </c>
      <c r="JU6" t="s">
        <v>393</v>
      </c>
      <c r="JV6" t="s">
        <v>394</v>
      </c>
      <c r="JW6" t="s">
        <v>395</v>
      </c>
      <c r="JX6" t="s">
        <v>396</v>
      </c>
      <c r="JY6" t="s">
        <v>397</v>
      </c>
      <c r="JZ6" t="s">
        <v>398</v>
      </c>
      <c r="KA6" t="s">
        <v>399</v>
      </c>
      <c r="KB6" t="s">
        <v>400</v>
      </c>
      <c r="KC6" t="s">
        <v>401</v>
      </c>
      <c r="KD6" t="s">
        <v>402</v>
      </c>
      <c r="KE6" t="s">
        <v>403</v>
      </c>
      <c r="KF6" t="s">
        <v>404</v>
      </c>
      <c r="KG6" t="s">
        <v>405</v>
      </c>
      <c r="KH6" t="s">
        <v>406</v>
      </c>
      <c r="KI6" t="s">
        <v>407</v>
      </c>
      <c r="KJ6" t="s">
        <v>408</v>
      </c>
      <c r="KK6" t="s">
        <v>409</v>
      </c>
      <c r="KL6" t="s">
        <v>410</v>
      </c>
      <c r="KM6" t="s">
        <v>411</v>
      </c>
      <c r="KN6" t="s">
        <v>412</v>
      </c>
      <c r="KO6" t="s">
        <v>413</v>
      </c>
      <c r="KP6" t="s">
        <v>414</v>
      </c>
      <c r="KQ6" t="s">
        <v>415</v>
      </c>
      <c r="KR6" t="s">
        <v>416</v>
      </c>
      <c r="KS6" t="s">
        <v>417</v>
      </c>
      <c r="KT6" t="s">
        <v>418</v>
      </c>
      <c r="KU6" t="s">
        <v>419</v>
      </c>
      <c r="KV6" t="s">
        <v>420</v>
      </c>
      <c r="KW6" t="s">
        <v>421</v>
      </c>
      <c r="KX6" t="s">
        <v>422</v>
      </c>
      <c r="KY6" t="s">
        <v>423</v>
      </c>
      <c r="KZ6" t="s">
        <v>424</v>
      </c>
      <c r="LA6" t="s">
        <v>425</v>
      </c>
      <c r="LB6" t="s">
        <v>426</v>
      </c>
      <c r="LC6" t="s">
        <v>427</v>
      </c>
      <c r="LD6" t="s">
        <v>428</v>
      </c>
      <c r="LE6" t="s">
        <v>429</v>
      </c>
      <c r="LF6" t="s">
        <v>430</v>
      </c>
      <c r="LG6" t="s">
        <v>431</v>
      </c>
      <c r="LH6" t="s">
        <v>432</v>
      </c>
      <c r="LI6" t="s">
        <v>433</v>
      </c>
      <c r="LJ6" t="s">
        <v>434</v>
      </c>
      <c r="LK6" t="s">
        <v>435</v>
      </c>
      <c r="LL6" t="s">
        <v>436</v>
      </c>
      <c r="LM6" t="s">
        <v>437</v>
      </c>
      <c r="LN6" t="s">
        <v>438</v>
      </c>
      <c r="LO6" t="s">
        <v>439</v>
      </c>
      <c r="LP6" t="s">
        <v>440</v>
      </c>
      <c r="LQ6" t="s">
        <v>441</v>
      </c>
      <c r="LR6" t="s">
        <v>442</v>
      </c>
      <c r="LS6" t="s">
        <v>443</v>
      </c>
      <c r="LT6" t="s">
        <v>444</v>
      </c>
      <c r="LU6" t="s">
        <v>445</v>
      </c>
      <c r="LV6" t="s">
        <v>446</v>
      </c>
      <c r="LW6" t="s">
        <v>447</v>
      </c>
      <c r="LX6" t="s">
        <v>448</v>
      </c>
      <c r="LY6" t="s">
        <v>449</v>
      </c>
      <c r="LZ6" t="s">
        <v>450</v>
      </c>
      <c r="MA6" t="s">
        <v>451</v>
      </c>
      <c r="MB6" t="s">
        <v>452</v>
      </c>
      <c r="MC6" t="s">
        <v>453</v>
      </c>
      <c r="MD6" t="s">
        <v>454</v>
      </c>
      <c r="ME6" t="s">
        <v>455</v>
      </c>
      <c r="MF6" t="s">
        <v>456</v>
      </c>
      <c r="MG6" t="s">
        <v>457</v>
      </c>
      <c r="MH6" s="18" t="s">
        <v>458</v>
      </c>
      <c r="MI6" s="18" t="s">
        <v>458</v>
      </c>
      <c r="MJ6" s="18" t="s">
        <v>459</v>
      </c>
    </row>
    <row r="7" spans="1:348" x14ac:dyDescent="0.3">
      <c r="D7">
        <v>344637</v>
      </c>
      <c r="E7" s="4">
        <v>45565</v>
      </c>
      <c r="F7">
        <v>344637</v>
      </c>
      <c r="G7">
        <v>0</v>
      </c>
      <c r="H7">
        <v>0</v>
      </c>
      <c r="I7">
        <v>0</v>
      </c>
      <c r="J7">
        <v>344637</v>
      </c>
      <c r="K7">
        <v>0</v>
      </c>
      <c r="L7">
        <v>0</v>
      </c>
      <c r="M7">
        <v>0</v>
      </c>
      <c r="N7">
        <v>344637</v>
      </c>
      <c r="O7">
        <v>0</v>
      </c>
      <c r="P7">
        <v>0</v>
      </c>
      <c r="Q7">
        <v>0</v>
      </c>
      <c r="R7">
        <v>344637</v>
      </c>
      <c r="S7">
        <v>0</v>
      </c>
      <c r="T7">
        <v>0</v>
      </c>
      <c r="U7">
        <v>0</v>
      </c>
      <c r="V7">
        <v>344637</v>
      </c>
      <c r="W7">
        <v>0</v>
      </c>
      <c r="X7">
        <v>0</v>
      </c>
      <c r="Y7">
        <v>0</v>
      </c>
      <c r="Z7">
        <v>344637</v>
      </c>
      <c r="AA7">
        <v>0</v>
      </c>
      <c r="AB7">
        <v>0</v>
      </c>
      <c r="AC7">
        <v>0</v>
      </c>
      <c r="AD7">
        <v>344637</v>
      </c>
      <c r="AE7">
        <v>0</v>
      </c>
      <c r="AF7">
        <v>0</v>
      </c>
      <c r="AG7">
        <v>0</v>
      </c>
      <c r="AH7">
        <v>344637</v>
      </c>
      <c r="AI7">
        <v>0</v>
      </c>
      <c r="AJ7">
        <v>0</v>
      </c>
      <c r="AK7">
        <v>0</v>
      </c>
      <c r="AL7">
        <v>344637</v>
      </c>
      <c r="AM7">
        <v>0</v>
      </c>
      <c r="AN7">
        <v>0</v>
      </c>
      <c r="AO7">
        <v>0</v>
      </c>
      <c r="AP7">
        <v>344637</v>
      </c>
      <c r="AQ7">
        <v>0</v>
      </c>
      <c r="AR7">
        <v>0</v>
      </c>
      <c r="AS7">
        <v>0</v>
      </c>
      <c r="AT7">
        <v>344637</v>
      </c>
      <c r="AU7">
        <v>0</v>
      </c>
      <c r="AV7">
        <v>0</v>
      </c>
      <c r="AW7">
        <v>0</v>
      </c>
      <c r="AX7">
        <v>344637</v>
      </c>
      <c r="AY7">
        <v>0</v>
      </c>
      <c r="AZ7">
        <v>0</v>
      </c>
      <c r="BA7">
        <v>0</v>
      </c>
      <c r="BB7">
        <v>344637</v>
      </c>
      <c r="BC7">
        <v>0</v>
      </c>
      <c r="BD7">
        <v>0</v>
      </c>
      <c r="BE7">
        <v>0</v>
      </c>
      <c r="BF7">
        <v>344637</v>
      </c>
      <c r="BG7">
        <v>0</v>
      </c>
      <c r="BH7">
        <v>0</v>
      </c>
      <c r="BI7">
        <v>0</v>
      </c>
      <c r="BJ7">
        <v>344637</v>
      </c>
      <c r="BK7">
        <v>0</v>
      </c>
      <c r="BL7">
        <v>0</v>
      </c>
      <c r="BM7">
        <v>0</v>
      </c>
      <c r="BN7">
        <v>344637</v>
      </c>
      <c r="BO7">
        <v>0</v>
      </c>
      <c r="BP7">
        <v>0</v>
      </c>
      <c r="BQ7">
        <v>0</v>
      </c>
      <c r="BR7">
        <v>344637</v>
      </c>
      <c r="BS7">
        <v>0</v>
      </c>
      <c r="BT7">
        <v>0</v>
      </c>
      <c r="BU7">
        <v>0</v>
      </c>
      <c r="BV7">
        <v>344637</v>
      </c>
      <c r="BW7">
        <v>0</v>
      </c>
      <c r="BX7">
        <v>0</v>
      </c>
      <c r="BY7">
        <v>0</v>
      </c>
      <c r="BZ7">
        <v>344637</v>
      </c>
      <c r="CA7">
        <v>0</v>
      </c>
      <c r="CB7">
        <v>0</v>
      </c>
      <c r="CC7">
        <v>0</v>
      </c>
      <c r="CD7">
        <v>344637</v>
      </c>
      <c r="CE7">
        <v>0</v>
      </c>
      <c r="CF7">
        <v>0</v>
      </c>
      <c r="CG7">
        <v>0</v>
      </c>
      <c r="CH7">
        <v>344637</v>
      </c>
      <c r="CI7">
        <v>0</v>
      </c>
      <c r="CJ7">
        <v>0</v>
      </c>
      <c r="CK7">
        <v>0</v>
      </c>
      <c r="CL7">
        <v>344637</v>
      </c>
      <c r="CM7">
        <v>0</v>
      </c>
      <c r="CN7">
        <v>0</v>
      </c>
      <c r="CO7">
        <v>0</v>
      </c>
      <c r="CP7">
        <v>344637</v>
      </c>
      <c r="CQ7">
        <v>0</v>
      </c>
      <c r="CR7">
        <v>0</v>
      </c>
      <c r="CS7">
        <v>0</v>
      </c>
      <c r="CT7">
        <v>344637</v>
      </c>
      <c r="CU7">
        <v>0</v>
      </c>
      <c r="CV7">
        <v>0</v>
      </c>
      <c r="CW7">
        <v>0</v>
      </c>
      <c r="CX7">
        <v>344637</v>
      </c>
      <c r="CY7">
        <v>0</v>
      </c>
      <c r="CZ7">
        <v>0</v>
      </c>
      <c r="DA7">
        <v>0</v>
      </c>
      <c r="DB7">
        <v>344637</v>
      </c>
      <c r="DC7">
        <v>0</v>
      </c>
      <c r="DD7">
        <v>0</v>
      </c>
      <c r="DE7">
        <v>0</v>
      </c>
      <c r="DF7">
        <v>344637</v>
      </c>
      <c r="DG7">
        <v>0</v>
      </c>
      <c r="DH7">
        <v>0</v>
      </c>
      <c r="DI7">
        <v>0</v>
      </c>
      <c r="DJ7">
        <v>344637</v>
      </c>
      <c r="DK7">
        <v>0</v>
      </c>
      <c r="DL7">
        <v>0</v>
      </c>
      <c r="DM7">
        <v>0</v>
      </c>
      <c r="DN7">
        <v>344637</v>
      </c>
      <c r="DO7">
        <v>0</v>
      </c>
      <c r="DP7">
        <v>0</v>
      </c>
      <c r="DQ7">
        <v>0</v>
      </c>
      <c r="DR7">
        <v>344637</v>
      </c>
      <c r="DS7">
        <v>0</v>
      </c>
      <c r="DT7">
        <v>0</v>
      </c>
      <c r="DU7">
        <v>0</v>
      </c>
      <c r="DV7">
        <v>344637</v>
      </c>
      <c r="DW7">
        <v>0</v>
      </c>
      <c r="DX7">
        <v>0</v>
      </c>
      <c r="DY7">
        <v>0</v>
      </c>
      <c r="DZ7">
        <v>344637</v>
      </c>
      <c r="EA7">
        <v>0</v>
      </c>
      <c r="EB7">
        <v>0</v>
      </c>
      <c r="EC7">
        <v>0</v>
      </c>
      <c r="ED7">
        <v>344637</v>
      </c>
      <c r="EE7">
        <v>0</v>
      </c>
      <c r="EF7">
        <v>0</v>
      </c>
      <c r="EG7">
        <v>0</v>
      </c>
      <c r="EH7">
        <v>344637</v>
      </c>
      <c r="EI7">
        <v>0</v>
      </c>
      <c r="EJ7">
        <v>0</v>
      </c>
      <c r="EK7">
        <v>0</v>
      </c>
      <c r="EL7">
        <v>344637</v>
      </c>
      <c r="EM7">
        <v>0</v>
      </c>
      <c r="EN7">
        <v>0</v>
      </c>
      <c r="EO7">
        <v>0</v>
      </c>
      <c r="EP7">
        <v>344637</v>
      </c>
      <c r="EQ7">
        <v>0</v>
      </c>
      <c r="ER7">
        <v>0</v>
      </c>
      <c r="ES7">
        <v>0</v>
      </c>
      <c r="ET7">
        <v>344637</v>
      </c>
      <c r="EU7">
        <v>0</v>
      </c>
      <c r="EV7">
        <v>0</v>
      </c>
      <c r="EW7">
        <v>0</v>
      </c>
      <c r="EX7">
        <v>344637</v>
      </c>
      <c r="EY7">
        <v>0</v>
      </c>
      <c r="EZ7">
        <v>0</v>
      </c>
      <c r="FA7">
        <v>0</v>
      </c>
      <c r="FB7">
        <v>344637</v>
      </c>
      <c r="FC7">
        <v>0</v>
      </c>
      <c r="FD7">
        <v>0</v>
      </c>
      <c r="FE7">
        <v>0</v>
      </c>
      <c r="FF7">
        <v>344637</v>
      </c>
      <c r="FG7">
        <v>0</v>
      </c>
      <c r="FH7">
        <v>0</v>
      </c>
      <c r="FI7">
        <v>0</v>
      </c>
      <c r="FJ7">
        <v>344637</v>
      </c>
      <c r="FK7">
        <v>0</v>
      </c>
      <c r="FL7">
        <v>0</v>
      </c>
      <c r="FM7">
        <v>0</v>
      </c>
      <c r="FN7">
        <v>344637</v>
      </c>
      <c r="FO7">
        <v>0</v>
      </c>
      <c r="FP7">
        <v>0</v>
      </c>
      <c r="FQ7">
        <v>0</v>
      </c>
      <c r="FR7">
        <v>344637</v>
      </c>
      <c r="FS7">
        <v>0</v>
      </c>
      <c r="FT7">
        <v>0</v>
      </c>
      <c r="FU7">
        <v>0</v>
      </c>
      <c r="FV7">
        <v>344637</v>
      </c>
      <c r="FW7">
        <v>0</v>
      </c>
      <c r="FX7">
        <v>0</v>
      </c>
      <c r="FY7">
        <v>0</v>
      </c>
      <c r="FZ7">
        <v>344637</v>
      </c>
      <c r="GA7">
        <v>0</v>
      </c>
      <c r="GB7">
        <v>0</v>
      </c>
      <c r="GC7">
        <v>0</v>
      </c>
      <c r="GD7">
        <v>344637</v>
      </c>
      <c r="GE7">
        <v>0</v>
      </c>
      <c r="GF7">
        <v>0</v>
      </c>
      <c r="GG7">
        <v>0</v>
      </c>
      <c r="GH7">
        <v>344637</v>
      </c>
      <c r="GI7">
        <v>0</v>
      </c>
      <c r="GJ7">
        <v>0</v>
      </c>
      <c r="GK7">
        <v>0</v>
      </c>
      <c r="GL7">
        <v>344637</v>
      </c>
      <c r="GM7">
        <v>0</v>
      </c>
      <c r="GN7">
        <v>0</v>
      </c>
      <c r="GO7">
        <v>0</v>
      </c>
      <c r="GP7">
        <v>344637</v>
      </c>
      <c r="GQ7">
        <v>0</v>
      </c>
      <c r="GR7">
        <v>0</v>
      </c>
      <c r="GS7">
        <v>0</v>
      </c>
      <c r="GT7">
        <v>344637</v>
      </c>
      <c r="GU7">
        <v>0</v>
      </c>
      <c r="GV7">
        <v>0</v>
      </c>
      <c r="GW7">
        <v>0</v>
      </c>
      <c r="GX7">
        <v>344637</v>
      </c>
      <c r="GY7">
        <v>0</v>
      </c>
      <c r="GZ7">
        <v>0</v>
      </c>
      <c r="HA7">
        <v>0</v>
      </c>
      <c r="HB7">
        <v>344637</v>
      </c>
      <c r="HC7">
        <v>0</v>
      </c>
      <c r="HD7">
        <v>0</v>
      </c>
      <c r="HE7">
        <v>0</v>
      </c>
      <c r="HF7">
        <v>344637</v>
      </c>
      <c r="HG7">
        <v>0</v>
      </c>
      <c r="HH7">
        <v>0</v>
      </c>
      <c r="HI7">
        <v>0</v>
      </c>
      <c r="HJ7">
        <v>344637</v>
      </c>
      <c r="HK7">
        <v>0</v>
      </c>
      <c r="HL7">
        <v>0</v>
      </c>
      <c r="HM7">
        <v>0</v>
      </c>
      <c r="HN7">
        <v>344637</v>
      </c>
      <c r="HO7">
        <v>0</v>
      </c>
      <c r="HP7">
        <v>0</v>
      </c>
      <c r="HQ7">
        <v>0</v>
      </c>
      <c r="HR7">
        <v>344637</v>
      </c>
      <c r="HS7">
        <v>0</v>
      </c>
      <c r="HT7">
        <v>0</v>
      </c>
      <c r="HU7">
        <v>0</v>
      </c>
      <c r="HV7">
        <v>344637</v>
      </c>
      <c r="HW7">
        <v>0</v>
      </c>
      <c r="HX7">
        <v>0</v>
      </c>
      <c r="HY7">
        <v>0</v>
      </c>
      <c r="HZ7">
        <v>344637</v>
      </c>
      <c r="IA7">
        <v>0</v>
      </c>
      <c r="IB7">
        <v>0</v>
      </c>
      <c r="IC7">
        <v>0</v>
      </c>
      <c r="ID7">
        <v>344637</v>
      </c>
      <c r="IE7">
        <v>0</v>
      </c>
      <c r="IF7">
        <v>0</v>
      </c>
      <c r="IG7">
        <v>0</v>
      </c>
      <c r="IH7">
        <v>344637</v>
      </c>
      <c r="II7">
        <v>0</v>
      </c>
      <c r="IJ7">
        <v>0</v>
      </c>
      <c r="IK7">
        <v>0</v>
      </c>
      <c r="IL7">
        <v>344637</v>
      </c>
      <c r="IM7">
        <v>0</v>
      </c>
      <c r="IN7">
        <v>0</v>
      </c>
      <c r="IO7">
        <v>0</v>
      </c>
      <c r="IP7">
        <v>344637</v>
      </c>
      <c r="IQ7">
        <v>0</v>
      </c>
      <c r="IR7">
        <v>0</v>
      </c>
      <c r="IS7">
        <v>0</v>
      </c>
      <c r="IT7">
        <v>344637</v>
      </c>
      <c r="IU7">
        <v>0</v>
      </c>
      <c r="IV7">
        <v>0</v>
      </c>
      <c r="IW7">
        <v>0</v>
      </c>
      <c r="IX7">
        <v>344637</v>
      </c>
      <c r="IY7">
        <v>0</v>
      </c>
      <c r="IZ7">
        <v>0</v>
      </c>
      <c r="JA7">
        <v>0</v>
      </c>
      <c r="JB7">
        <v>344637</v>
      </c>
      <c r="JC7">
        <v>0</v>
      </c>
      <c r="JD7">
        <v>0</v>
      </c>
      <c r="JE7">
        <v>0</v>
      </c>
      <c r="JF7">
        <v>344637</v>
      </c>
      <c r="JG7">
        <v>0</v>
      </c>
      <c r="JH7">
        <v>0</v>
      </c>
      <c r="JI7">
        <v>0</v>
      </c>
      <c r="JJ7">
        <v>344637</v>
      </c>
      <c r="JK7">
        <v>0</v>
      </c>
      <c r="JL7">
        <v>0</v>
      </c>
      <c r="JM7">
        <v>0</v>
      </c>
      <c r="JN7">
        <v>344637</v>
      </c>
      <c r="JO7">
        <v>0</v>
      </c>
      <c r="JP7">
        <v>0</v>
      </c>
      <c r="JQ7">
        <v>0</v>
      </c>
      <c r="JR7">
        <v>344637</v>
      </c>
      <c r="JS7">
        <v>0</v>
      </c>
      <c r="JT7">
        <v>0</v>
      </c>
      <c r="JU7">
        <v>0</v>
      </c>
      <c r="JV7">
        <v>344637</v>
      </c>
      <c r="JW7">
        <v>0</v>
      </c>
      <c r="JX7">
        <v>0</v>
      </c>
      <c r="JY7">
        <v>0</v>
      </c>
      <c r="JZ7">
        <v>344637</v>
      </c>
      <c r="KA7">
        <v>0</v>
      </c>
      <c r="KB7">
        <v>0</v>
      </c>
      <c r="KC7">
        <v>0</v>
      </c>
      <c r="KD7">
        <v>344637</v>
      </c>
      <c r="KE7">
        <v>0</v>
      </c>
      <c r="KF7">
        <v>0</v>
      </c>
      <c r="KG7">
        <v>0</v>
      </c>
      <c r="KH7">
        <v>344637</v>
      </c>
      <c r="KI7">
        <v>0</v>
      </c>
      <c r="KJ7">
        <v>0</v>
      </c>
      <c r="KK7">
        <v>0</v>
      </c>
      <c r="KL7">
        <v>344637</v>
      </c>
      <c r="KM7">
        <v>0</v>
      </c>
      <c r="KN7">
        <v>0</v>
      </c>
      <c r="KO7">
        <v>0</v>
      </c>
      <c r="KP7">
        <v>344637</v>
      </c>
      <c r="KQ7">
        <v>0</v>
      </c>
      <c r="KR7">
        <v>0</v>
      </c>
      <c r="KS7">
        <v>0</v>
      </c>
      <c r="KT7">
        <v>344637</v>
      </c>
      <c r="KU7">
        <v>0</v>
      </c>
      <c r="KV7">
        <v>0</v>
      </c>
      <c r="KW7">
        <v>0</v>
      </c>
      <c r="KX7">
        <v>344637</v>
      </c>
      <c r="KY7">
        <v>0</v>
      </c>
      <c r="KZ7">
        <v>0</v>
      </c>
      <c r="LA7">
        <v>0</v>
      </c>
      <c r="LB7">
        <v>344637</v>
      </c>
      <c r="LC7">
        <v>0</v>
      </c>
      <c r="LD7">
        <v>0</v>
      </c>
      <c r="LE7">
        <v>0</v>
      </c>
      <c r="LF7">
        <v>344637</v>
      </c>
      <c r="LG7">
        <v>0</v>
      </c>
      <c r="LH7">
        <v>0</v>
      </c>
      <c r="LI7">
        <v>0</v>
      </c>
      <c r="LJ7">
        <v>344637</v>
      </c>
      <c r="LK7">
        <v>0</v>
      </c>
      <c r="LL7">
        <v>0</v>
      </c>
      <c r="LM7">
        <v>0</v>
      </c>
      <c r="LN7">
        <v>344637</v>
      </c>
      <c r="LO7">
        <v>0</v>
      </c>
      <c r="LP7">
        <v>0</v>
      </c>
      <c r="LQ7">
        <v>0</v>
      </c>
      <c r="LR7">
        <v>344637</v>
      </c>
      <c r="LS7">
        <v>0</v>
      </c>
      <c r="LT7">
        <v>0</v>
      </c>
      <c r="LU7">
        <v>0</v>
      </c>
      <c r="LV7">
        <v>0</v>
      </c>
      <c r="LW7">
        <v>344637</v>
      </c>
      <c r="LX7">
        <v>0</v>
      </c>
      <c r="LY7">
        <v>0</v>
      </c>
      <c r="LZ7">
        <v>344637</v>
      </c>
      <c r="MA7">
        <v>0</v>
      </c>
      <c r="MB7">
        <v>0</v>
      </c>
      <c r="MC7">
        <v>0</v>
      </c>
      <c r="MD7">
        <v>344637</v>
      </c>
      <c r="ME7">
        <v>0</v>
      </c>
      <c r="MF7">
        <v>0</v>
      </c>
      <c r="MG7">
        <v>0</v>
      </c>
      <c r="MH7" s="18" t="s">
        <v>463</v>
      </c>
      <c r="MI7" s="18" t="s">
        <v>461</v>
      </c>
      <c r="MJ7" s="18" t="s">
        <v>31</v>
      </c>
    </row>
    <row r="11" spans="1:348" x14ac:dyDescent="0.3">
      <c r="A11" t="s">
        <v>464</v>
      </c>
    </row>
    <row r="12" spans="1:348" x14ac:dyDescent="0.3">
      <c r="A12" t="s">
        <v>465</v>
      </c>
    </row>
    <row r="13" spans="1:348" x14ac:dyDescent="0.3">
      <c r="A13" t="s">
        <v>466</v>
      </c>
      <c r="T13" s="4"/>
      <c r="U13" s="4"/>
      <c r="X13" s="4"/>
    </row>
    <row r="14" spans="1:348" x14ac:dyDescent="0.3">
      <c r="A14" t="s">
        <v>467</v>
      </c>
    </row>
    <row r="15" spans="1:348" x14ac:dyDescent="0.3">
      <c r="A15" t="s">
        <v>468</v>
      </c>
    </row>
    <row r="16" spans="1:348" x14ac:dyDescent="0.3">
      <c r="A16" t="s">
        <v>469</v>
      </c>
    </row>
    <row r="17" spans="1:1" x14ac:dyDescent="0.3">
      <c r="A17" t="s">
        <v>470</v>
      </c>
    </row>
    <row r="18" spans="1:1" x14ac:dyDescent="0.3">
      <c r="A18" t="s">
        <v>471</v>
      </c>
    </row>
    <row r="19" spans="1:1" x14ac:dyDescent="0.3">
      <c r="A19" t="s">
        <v>472</v>
      </c>
    </row>
    <row r="20" spans="1:1" x14ac:dyDescent="0.3">
      <c r="A20" t="s">
        <v>473</v>
      </c>
    </row>
    <row r="21" spans="1:1" x14ac:dyDescent="0.3">
      <c r="A21" t="s">
        <v>474</v>
      </c>
    </row>
    <row r="22" spans="1:1" x14ac:dyDescent="0.3">
      <c r="A22" t="s">
        <v>475</v>
      </c>
    </row>
    <row r="23" spans="1:1" x14ac:dyDescent="0.3">
      <c r="A23" t="s">
        <v>476</v>
      </c>
    </row>
    <row r="24" spans="1:1" x14ac:dyDescent="0.3">
      <c r="A24" t="s">
        <v>477</v>
      </c>
    </row>
    <row r="25" spans="1:1" x14ac:dyDescent="0.3">
      <c r="A25" t="s">
        <v>478</v>
      </c>
    </row>
    <row r="26" spans="1:1" x14ac:dyDescent="0.3">
      <c r="A26" t="s">
        <v>479</v>
      </c>
    </row>
    <row r="27" spans="1:1" x14ac:dyDescent="0.3">
      <c r="A27" t="s">
        <v>480</v>
      </c>
    </row>
    <row r="28" spans="1:1" x14ac:dyDescent="0.3">
      <c r="A28" t="s">
        <v>481</v>
      </c>
    </row>
    <row r="29" spans="1:1" x14ac:dyDescent="0.3">
      <c r="A29" t="s">
        <v>482</v>
      </c>
    </row>
    <row r="30" spans="1:1" x14ac:dyDescent="0.3">
      <c r="A30" t="s">
        <v>483</v>
      </c>
    </row>
    <row r="31" spans="1:1" x14ac:dyDescent="0.3">
      <c r="A31" t="s">
        <v>484</v>
      </c>
    </row>
    <row r="32" spans="1:1" x14ac:dyDescent="0.3">
      <c r="A32" t="s">
        <v>485</v>
      </c>
    </row>
    <row r="33" spans="1:1" x14ac:dyDescent="0.3">
      <c r="A33" t="s">
        <v>486</v>
      </c>
    </row>
    <row r="34" spans="1:1" x14ac:dyDescent="0.3">
      <c r="A34" t="s">
        <v>487</v>
      </c>
    </row>
    <row r="35" spans="1:1" x14ac:dyDescent="0.3">
      <c r="A35" t="s">
        <v>488</v>
      </c>
    </row>
    <row r="36" spans="1:1" x14ac:dyDescent="0.3">
      <c r="A36" t="s">
        <v>489</v>
      </c>
    </row>
    <row r="37" spans="1:1" x14ac:dyDescent="0.3">
      <c r="A37" t="s">
        <v>490</v>
      </c>
    </row>
    <row r="38" spans="1:1" x14ac:dyDescent="0.3">
      <c r="A38" t="s">
        <v>491</v>
      </c>
    </row>
    <row r="39" spans="1:1" x14ac:dyDescent="0.3">
      <c r="A39" t="s">
        <v>492</v>
      </c>
    </row>
    <row r="40" spans="1:1" x14ac:dyDescent="0.3">
      <c r="A40" t="s">
        <v>493</v>
      </c>
    </row>
    <row r="41" spans="1:1" x14ac:dyDescent="0.3">
      <c r="A41" t="s">
        <v>494</v>
      </c>
    </row>
    <row r="42" spans="1:1" x14ac:dyDescent="0.3">
      <c r="A42" t="s">
        <v>495</v>
      </c>
    </row>
    <row r="43" spans="1:1" x14ac:dyDescent="0.3">
      <c r="A43" t="s">
        <v>496</v>
      </c>
    </row>
    <row r="44" spans="1:1" x14ac:dyDescent="0.3">
      <c r="A44" t="s">
        <v>497</v>
      </c>
    </row>
    <row r="45" spans="1:1" x14ac:dyDescent="0.3">
      <c r="A45" t="s">
        <v>498</v>
      </c>
    </row>
    <row r="46" spans="1:1" x14ac:dyDescent="0.3">
      <c r="A46" t="s">
        <v>499</v>
      </c>
    </row>
    <row r="47" spans="1:1" x14ac:dyDescent="0.3">
      <c r="A47" t="s">
        <v>500</v>
      </c>
    </row>
    <row r="48" spans="1:1" x14ac:dyDescent="0.3">
      <c r="A48" t="s">
        <v>501</v>
      </c>
    </row>
    <row r="49" spans="1:1" x14ac:dyDescent="0.3">
      <c r="A49" t="s">
        <v>502</v>
      </c>
    </row>
    <row r="50" spans="1:1" x14ac:dyDescent="0.3">
      <c r="A50" t="s">
        <v>503</v>
      </c>
    </row>
    <row r="51" spans="1:1" x14ac:dyDescent="0.3">
      <c r="A51" t="s">
        <v>504</v>
      </c>
    </row>
    <row r="52" spans="1:1" x14ac:dyDescent="0.3">
      <c r="A52" t="s">
        <v>505</v>
      </c>
    </row>
    <row r="53" spans="1:1" x14ac:dyDescent="0.3">
      <c r="A53" t="s">
        <v>506</v>
      </c>
    </row>
    <row r="54" spans="1:1" x14ac:dyDescent="0.3">
      <c r="A54" t="s">
        <v>507</v>
      </c>
    </row>
    <row r="55" spans="1:1" x14ac:dyDescent="0.3">
      <c r="A55" t="s">
        <v>508</v>
      </c>
    </row>
    <row r="56" spans="1:1" x14ac:dyDescent="0.3">
      <c r="A56" t="s">
        <v>509</v>
      </c>
    </row>
    <row r="57" spans="1:1" x14ac:dyDescent="0.3">
      <c r="A57" t="s">
        <v>510</v>
      </c>
    </row>
    <row r="58" spans="1:1" x14ac:dyDescent="0.3">
      <c r="A58" t="s">
        <v>511</v>
      </c>
    </row>
    <row r="59" spans="1:1" x14ac:dyDescent="0.3">
      <c r="A59" t="s">
        <v>512</v>
      </c>
    </row>
    <row r="60" spans="1:1" x14ac:dyDescent="0.3">
      <c r="A60" t="s">
        <v>513</v>
      </c>
    </row>
    <row r="61" spans="1:1" x14ac:dyDescent="0.3">
      <c r="A61" t="s">
        <v>514</v>
      </c>
    </row>
    <row r="62" spans="1:1" x14ac:dyDescent="0.3">
      <c r="A62" t="s">
        <v>515</v>
      </c>
    </row>
    <row r="63" spans="1:1" x14ac:dyDescent="0.3">
      <c r="A63" t="s">
        <v>516</v>
      </c>
    </row>
    <row r="64" spans="1:1" x14ac:dyDescent="0.3">
      <c r="A64" t="s">
        <v>517</v>
      </c>
    </row>
    <row r="65" spans="1:1" x14ac:dyDescent="0.3">
      <c r="A65" t="s">
        <v>518</v>
      </c>
    </row>
    <row r="66" spans="1:1" x14ac:dyDescent="0.3">
      <c r="A66" t="s">
        <v>519</v>
      </c>
    </row>
    <row r="67" spans="1:1" x14ac:dyDescent="0.3">
      <c r="A67" t="s">
        <v>520</v>
      </c>
    </row>
    <row r="68" spans="1:1" x14ac:dyDescent="0.3">
      <c r="A68" t="s">
        <v>521</v>
      </c>
    </row>
    <row r="69" spans="1:1" x14ac:dyDescent="0.3">
      <c r="A69" t="s">
        <v>522</v>
      </c>
    </row>
    <row r="70" spans="1:1" x14ac:dyDescent="0.3">
      <c r="A70" t="s">
        <v>523</v>
      </c>
    </row>
    <row r="71" spans="1:1" x14ac:dyDescent="0.3">
      <c r="A71" t="s">
        <v>524</v>
      </c>
    </row>
    <row r="72" spans="1:1" x14ac:dyDescent="0.3">
      <c r="A72" t="s">
        <v>525</v>
      </c>
    </row>
    <row r="73" spans="1:1" x14ac:dyDescent="0.3">
      <c r="A73" t="s">
        <v>526</v>
      </c>
    </row>
    <row r="74" spans="1:1" x14ac:dyDescent="0.3">
      <c r="A74" t="s">
        <v>527</v>
      </c>
    </row>
    <row r="75" spans="1:1" x14ac:dyDescent="0.3">
      <c r="A75" t="s">
        <v>528</v>
      </c>
    </row>
    <row r="76" spans="1:1" x14ac:dyDescent="0.3">
      <c r="A76" t="s">
        <v>529</v>
      </c>
    </row>
    <row r="77" spans="1:1" x14ac:dyDescent="0.3">
      <c r="A77" t="s">
        <v>530</v>
      </c>
    </row>
    <row r="78" spans="1:1" x14ac:dyDescent="0.3">
      <c r="A78" t="s">
        <v>531</v>
      </c>
    </row>
    <row r="79" spans="1:1" x14ac:dyDescent="0.3">
      <c r="A79" t="s">
        <v>532</v>
      </c>
    </row>
    <row r="80" spans="1:1" x14ac:dyDescent="0.3">
      <c r="A80" t="s">
        <v>533</v>
      </c>
    </row>
    <row r="81" spans="1:1" x14ac:dyDescent="0.3">
      <c r="A81" t="s">
        <v>534</v>
      </c>
    </row>
    <row r="82" spans="1:1" x14ac:dyDescent="0.3">
      <c r="A82" t="s">
        <v>535</v>
      </c>
    </row>
    <row r="83" spans="1:1" x14ac:dyDescent="0.3">
      <c r="A83" t="s">
        <v>536</v>
      </c>
    </row>
    <row r="84" spans="1:1" x14ac:dyDescent="0.3">
      <c r="A84" t="s">
        <v>537</v>
      </c>
    </row>
    <row r="85" spans="1:1" x14ac:dyDescent="0.3">
      <c r="A85" t="s">
        <v>538</v>
      </c>
    </row>
    <row r="86" spans="1:1" x14ac:dyDescent="0.3">
      <c r="A86" t="s">
        <v>539</v>
      </c>
    </row>
    <row r="87" spans="1:1" x14ac:dyDescent="0.3">
      <c r="A87" t="s">
        <v>540</v>
      </c>
    </row>
    <row r="88" spans="1:1" x14ac:dyDescent="0.3">
      <c r="A88" t="s">
        <v>541</v>
      </c>
    </row>
    <row r="89" spans="1:1" x14ac:dyDescent="0.3">
      <c r="A89" t="s">
        <v>542</v>
      </c>
    </row>
    <row r="90" spans="1:1" x14ac:dyDescent="0.3">
      <c r="A90" t="s">
        <v>543</v>
      </c>
    </row>
    <row r="91" spans="1:1" x14ac:dyDescent="0.3">
      <c r="A91" t="s">
        <v>544</v>
      </c>
    </row>
    <row r="92" spans="1:1" x14ac:dyDescent="0.3">
      <c r="A92" t="s">
        <v>545</v>
      </c>
    </row>
    <row r="93" spans="1:1" x14ac:dyDescent="0.3">
      <c r="A93" t="s">
        <v>546</v>
      </c>
    </row>
    <row r="94" spans="1:1" x14ac:dyDescent="0.3">
      <c r="A94" t="s">
        <v>547</v>
      </c>
    </row>
    <row r="95" spans="1:1" x14ac:dyDescent="0.3">
      <c r="A95" t="s">
        <v>548</v>
      </c>
    </row>
    <row r="96" spans="1:1" x14ac:dyDescent="0.3">
      <c r="A96" t="s">
        <v>549</v>
      </c>
    </row>
    <row r="97" spans="1:1" x14ac:dyDescent="0.3">
      <c r="A97" t="s">
        <v>550</v>
      </c>
    </row>
    <row r="98" spans="1:1" x14ac:dyDescent="0.3">
      <c r="A98" t="s">
        <v>551</v>
      </c>
    </row>
    <row r="99" spans="1:1" x14ac:dyDescent="0.3">
      <c r="A99" t="s">
        <v>552</v>
      </c>
    </row>
    <row r="100" spans="1:1" x14ac:dyDescent="0.3">
      <c r="A100" t="s">
        <v>553</v>
      </c>
    </row>
    <row r="101" spans="1:1" x14ac:dyDescent="0.3">
      <c r="A101" t="s">
        <v>554</v>
      </c>
    </row>
    <row r="102" spans="1:1" x14ac:dyDescent="0.3">
      <c r="A102" t="s">
        <v>555</v>
      </c>
    </row>
    <row r="103" spans="1:1" x14ac:dyDescent="0.3">
      <c r="A103" t="s">
        <v>556</v>
      </c>
    </row>
    <row r="104" spans="1:1" x14ac:dyDescent="0.3">
      <c r="A104" t="s">
        <v>557</v>
      </c>
    </row>
    <row r="105" spans="1:1" x14ac:dyDescent="0.3">
      <c r="A105" t="s">
        <v>558</v>
      </c>
    </row>
    <row r="106" spans="1:1" x14ac:dyDescent="0.3">
      <c r="A106" t="s">
        <v>559</v>
      </c>
    </row>
    <row r="107" spans="1:1" x14ac:dyDescent="0.3">
      <c r="A107" t="s">
        <v>560</v>
      </c>
    </row>
    <row r="108" spans="1:1" x14ac:dyDescent="0.3">
      <c r="A108" t="s">
        <v>561</v>
      </c>
    </row>
    <row r="109" spans="1:1" x14ac:dyDescent="0.3">
      <c r="A109" t="s">
        <v>562</v>
      </c>
    </row>
    <row r="110" spans="1:1" x14ac:dyDescent="0.3">
      <c r="A110" t="s">
        <v>563</v>
      </c>
    </row>
    <row r="111" spans="1:1" x14ac:dyDescent="0.3">
      <c r="A111" t="s">
        <v>564</v>
      </c>
    </row>
    <row r="112" spans="1:1" x14ac:dyDescent="0.3">
      <c r="A112" t="s">
        <v>565</v>
      </c>
    </row>
    <row r="113" spans="1:1" x14ac:dyDescent="0.3">
      <c r="A113" t="s">
        <v>566</v>
      </c>
    </row>
    <row r="114" spans="1:1" x14ac:dyDescent="0.3">
      <c r="A114" t="s">
        <v>567</v>
      </c>
    </row>
    <row r="115" spans="1:1" x14ac:dyDescent="0.3">
      <c r="A115" t="s">
        <v>568</v>
      </c>
    </row>
    <row r="116" spans="1:1" x14ac:dyDescent="0.3">
      <c r="A116" t="s">
        <v>569</v>
      </c>
    </row>
    <row r="117" spans="1:1" x14ac:dyDescent="0.3">
      <c r="A117" t="s">
        <v>570</v>
      </c>
    </row>
    <row r="118" spans="1:1" x14ac:dyDescent="0.3">
      <c r="A118" t="s">
        <v>571</v>
      </c>
    </row>
    <row r="119" spans="1:1" x14ac:dyDescent="0.3">
      <c r="A119" t="s">
        <v>572</v>
      </c>
    </row>
    <row r="120" spans="1:1" x14ac:dyDescent="0.3">
      <c r="A120" t="s">
        <v>573</v>
      </c>
    </row>
    <row r="121" spans="1:1" x14ac:dyDescent="0.3">
      <c r="A121" t="s">
        <v>574</v>
      </c>
    </row>
    <row r="122" spans="1:1" x14ac:dyDescent="0.3">
      <c r="A122" t="s">
        <v>575</v>
      </c>
    </row>
    <row r="123" spans="1:1" x14ac:dyDescent="0.3">
      <c r="A123" t="s">
        <v>576</v>
      </c>
    </row>
    <row r="124" spans="1:1" x14ac:dyDescent="0.3">
      <c r="A124" t="s">
        <v>577</v>
      </c>
    </row>
    <row r="125" spans="1:1" x14ac:dyDescent="0.3">
      <c r="A125" t="s">
        <v>578</v>
      </c>
    </row>
    <row r="126" spans="1:1" x14ac:dyDescent="0.3">
      <c r="A126" t="s">
        <v>579</v>
      </c>
    </row>
    <row r="127" spans="1:1" x14ac:dyDescent="0.3">
      <c r="A127" t="s">
        <v>580</v>
      </c>
    </row>
    <row r="128" spans="1:1" x14ac:dyDescent="0.3">
      <c r="A128" t="s">
        <v>581</v>
      </c>
    </row>
    <row r="129" spans="1:1" x14ac:dyDescent="0.3">
      <c r="A129" t="s">
        <v>582</v>
      </c>
    </row>
    <row r="130" spans="1:1" x14ac:dyDescent="0.3">
      <c r="A130" t="s">
        <v>583</v>
      </c>
    </row>
    <row r="131" spans="1:1" x14ac:dyDescent="0.3">
      <c r="A131" t="s">
        <v>584</v>
      </c>
    </row>
    <row r="132" spans="1:1" x14ac:dyDescent="0.3">
      <c r="A132" t="s">
        <v>585</v>
      </c>
    </row>
    <row r="133" spans="1:1" x14ac:dyDescent="0.3">
      <c r="A133" t="s">
        <v>586</v>
      </c>
    </row>
    <row r="134" spans="1:1" x14ac:dyDescent="0.3">
      <c r="A134" t="s">
        <v>587</v>
      </c>
    </row>
    <row r="135" spans="1:1" x14ac:dyDescent="0.3">
      <c r="A135" t="s">
        <v>588</v>
      </c>
    </row>
    <row r="136" spans="1:1" x14ac:dyDescent="0.3">
      <c r="A136" t="s">
        <v>589</v>
      </c>
    </row>
    <row r="137" spans="1:1" x14ac:dyDescent="0.3">
      <c r="A137" t="s">
        <v>590</v>
      </c>
    </row>
    <row r="138" spans="1:1" x14ac:dyDescent="0.3">
      <c r="A138" t="s">
        <v>591</v>
      </c>
    </row>
    <row r="139" spans="1:1" x14ac:dyDescent="0.3">
      <c r="A139" t="s">
        <v>592</v>
      </c>
    </row>
    <row r="140" spans="1:1" x14ac:dyDescent="0.3">
      <c r="A140" t="s">
        <v>593</v>
      </c>
    </row>
    <row r="141" spans="1:1" x14ac:dyDescent="0.3">
      <c r="A141" t="s">
        <v>594</v>
      </c>
    </row>
    <row r="142" spans="1:1" x14ac:dyDescent="0.3">
      <c r="A142" t="s">
        <v>595</v>
      </c>
    </row>
    <row r="143" spans="1:1" x14ac:dyDescent="0.3">
      <c r="A143" t="s">
        <v>596</v>
      </c>
    </row>
    <row r="144" spans="1:1" x14ac:dyDescent="0.3">
      <c r="A144" t="s">
        <v>597</v>
      </c>
    </row>
    <row r="145" spans="1:1" x14ac:dyDescent="0.3">
      <c r="A145" t="s">
        <v>598</v>
      </c>
    </row>
    <row r="146" spans="1:1" x14ac:dyDescent="0.3">
      <c r="A146" t="s">
        <v>599</v>
      </c>
    </row>
    <row r="147" spans="1:1" x14ac:dyDescent="0.3">
      <c r="A147" t="s">
        <v>600</v>
      </c>
    </row>
    <row r="148" spans="1:1" x14ac:dyDescent="0.3">
      <c r="A148" t="s">
        <v>601</v>
      </c>
    </row>
    <row r="149" spans="1:1" x14ac:dyDescent="0.3">
      <c r="A149" t="s">
        <v>602</v>
      </c>
    </row>
    <row r="150" spans="1:1" x14ac:dyDescent="0.3">
      <c r="A150" t="s">
        <v>603</v>
      </c>
    </row>
    <row r="151" spans="1:1" x14ac:dyDescent="0.3">
      <c r="A151" t="s">
        <v>604</v>
      </c>
    </row>
    <row r="152" spans="1:1" x14ac:dyDescent="0.3">
      <c r="A152" t="s">
        <v>605</v>
      </c>
    </row>
    <row r="153" spans="1:1" x14ac:dyDescent="0.3">
      <c r="A153" t="s">
        <v>606</v>
      </c>
    </row>
    <row r="154" spans="1:1" x14ac:dyDescent="0.3">
      <c r="A154" t="s">
        <v>607</v>
      </c>
    </row>
    <row r="155" spans="1:1" x14ac:dyDescent="0.3">
      <c r="A155" t="s">
        <v>608</v>
      </c>
    </row>
    <row r="156" spans="1:1" x14ac:dyDescent="0.3">
      <c r="A156" t="s">
        <v>609</v>
      </c>
    </row>
    <row r="157" spans="1:1" x14ac:dyDescent="0.3">
      <c r="A157" t="s">
        <v>610</v>
      </c>
    </row>
    <row r="158" spans="1:1" x14ac:dyDescent="0.3">
      <c r="A158" t="s">
        <v>611</v>
      </c>
    </row>
    <row r="159" spans="1:1" x14ac:dyDescent="0.3">
      <c r="A159" t="s">
        <v>612</v>
      </c>
    </row>
    <row r="160" spans="1:1" x14ac:dyDescent="0.3">
      <c r="A160" t="s">
        <v>613</v>
      </c>
    </row>
    <row r="161" spans="1:1" x14ac:dyDescent="0.3">
      <c r="A161" t="s">
        <v>614</v>
      </c>
    </row>
    <row r="162" spans="1:1" x14ac:dyDescent="0.3">
      <c r="A162" t="s">
        <v>615</v>
      </c>
    </row>
    <row r="163" spans="1:1" x14ac:dyDescent="0.3">
      <c r="A163" t="s">
        <v>616</v>
      </c>
    </row>
    <row r="164" spans="1:1" x14ac:dyDescent="0.3">
      <c r="A164" t="s">
        <v>617</v>
      </c>
    </row>
    <row r="165" spans="1:1" x14ac:dyDescent="0.3">
      <c r="A165" t="s">
        <v>618</v>
      </c>
    </row>
    <row r="166" spans="1:1" x14ac:dyDescent="0.3">
      <c r="A166" t="s">
        <v>619</v>
      </c>
    </row>
    <row r="167" spans="1:1" x14ac:dyDescent="0.3">
      <c r="A167" t="s">
        <v>620</v>
      </c>
    </row>
    <row r="168" spans="1:1" x14ac:dyDescent="0.3">
      <c r="A168" t="s">
        <v>621</v>
      </c>
    </row>
    <row r="169" spans="1:1" x14ac:dyDescent="0.3">
      <c r="A169" t="s">
        <v>622</v>
      </c>
    </row>
    <row r="170" spans="1:1" x14ac:dyDescent="0.3">
      <c r="A170" t="s">
        <v>623</v>
      </c>
    </row>
    <row r="171" spans="1:1" x14ac:dyDescent="0.3">
      <c r="A171" t="s">
        <v>624</v>
      </c>
    </row>
    <row r="172" spans="1:1" x14ac:dyDescent="0.3">
      <c r="A172" t="s">
        <v>625</v>
      </c>
    </row>
    <row r="173" spans="1:1" x14ac:dyDescent="0.3">
      <c r="A173" t="s">
        <v>626</v>
      </c>
    </row>
    <row r="174" spans="1:1" x14ac:dyDescent="0.3">
      <c r="A174" t="s">
        <v>627</v>
      </c>
    </row>
    <row r="175" spans="1:1" x14ac:dyDescent="0.3">
      <c r="A175" t="s">
        <v>628</v>
      </c>
    </row>
    <row r="176" spans="1:1" x14ac:dyDescent="0.3">
      <c r="A176" t="s">
        <v>629</v>
      </c>
    </row>
    <row r="177" spans="1:1" x14ac:dyDescent="0.3">
      <c r="A177" t="s">
        <v>630</v>
      </c>
    </row>
    <row r="178" spans="1:1" x14ac:dyDescent="0.3">
      <c r="A178" t="s">
        <v>631</v>
      </c>
    </row>
    <row r="179" spans="1:1" x14ac:dyDescent="0.3">
      <c r="A179" t="s">
        <v>632</v>
      </c>
    </row>
    <row r="180" spans="1:1" x14ac:dyDescent="0.3">
      <c r="A180" t="s">
        <v>633</v>
      </c>
    </row>
    <row r="181" spans="1:1" x14ac:dyDescent="0.3">
      <c r="A181" t="s">
        <v>634</v>
      </c>
    </row>
    <row r="182" spans="1:1" x14ac:dyDescent="0.3">
      <c r="A182" t="s">
        <v>635</v>
      </c>
    </row>
    <row r="183" spans="1:1" x14ac:dyDescent="0.3">
      <c r="A183" t="s">
        <v>636</v>
      </c>
    </row>
    <row r="184" spans="1:1" x14ac:dyDescent="0.3">
      <c r="A184" t="s">
        <v>637</v>
      </c>
    </row>
    <row r="185" spans="1:1" x14ac:dyDescent="0.3">
      <c r="A185" t="s">
        <v>638</v>
      </c>
    </row>
    <row r="186" spans="1:1" x14ac:dyDescent="0.3">
      <c r="A186" t="s">
        <v>639</v>
      </c>
    </row>
    <row r="187" spans="1:1" x14ac:dyDescent="0.3">
      <c r="A187" t="s">
        <v>640</v>
      </c>
    </row>
    <row r="188" spans="1:1" x14ac:dyDescent="0.3">
      <c r="A188" t="s">
        <v>641</v>
      </c>
    </row>
    <row r="189" spans="1:1" x14ac:dyDescent="0.3">
      <c r="A189" t="s">
        <v>642</v>
      </c>
    </row>
    <row r="190" spans="1:1" x14ac:dyDescent="0.3">
      <c r="A190" t="s">
        <v>643</v>
      </c>
    </row>
    <row r="191" spans="1:1" x14ac:dyDescent="0.3">
      <c r="A191" t="s">
        <v>644</v>
      </c>
    </row>
    <row r="192" spans="1:1" x14ac:dyDescent="0.3">
      <c r="A192" t="s">
        <v>645</v>
      </c>
    </row>
    <row r="193" spans="1:1" x14ac:dyDescent="0.3">
      <c r="A193" t="s">
        <v>646</v>
      </c>
    </row>
    <row r="194" spans="1:1" x14ac:dyDescent="0.3">
      <c r="A194" t="s">
        <v>647</v>
      </c>
    </row>
    <row r="195" spans="1:1" x14ac:dyDescent="0.3">
      <c r="A195" t="s">
        <v>648</v>
      </c>
    </row>
    <row r="196" spans="1:1" x14ac:dyDescent="0.3">
      <c r="A196" t="s">
        <v>649</v>
      </c>
    </row>
    <row r="197" spans="1:1" x14ac:dyDescent="0.3">
      <c r="A197" t="s">
        <v>650</v>
      </c>
    </row>
    <row r="198" spans="1:1" x14ac:dyDescent="0.3">
      <c r="A198" t="s">
        <v>651</v>
      </c>
    </row>
    <row r="199" spans="1:1" x14ac:dyDescent="0.3">
      <c r="A199" t="s">
        <v>652</v>
      </c>
    </row>
    <row r="200" spans="1:1" x14ac:dyDescent="0.3">
      <c r="A200" t="s">
        <v>653</v>
      </c>
    </row>
    <row r="201" spans="1:1" x14ac:dyDescent="0.3">
      <c r="A201" t="s">
        <v>654</v>
      </c>
    </row>
    <row r="202" spans="1:1" x14ac:dyDescent="0.3">
      <c r="A202" t="s">
        <v>655</v>
      </c>
    </row>
    <row r="203" spans="1:1" x14ac:dyDescent="0.3">
      <c r="A203" t="s">
        <v>656</v>
      </c>
    </row>
    <row r="204" spans="1:1" x14ac:dyDescent="0.3">
      <c r="A204" t="s">
        <v>657</v>
      </c>
    </row>
    <row r="205" spans="1:1" x14ac:dyDescent="0.3">
      <c r="A205" t="s">
        <v>658</v>
      </c>
    </row>
    <row r="206" spans="1:1" x14ac:dyDescent="0.3">
      <c r="A206" t="s">
        <v>659</v>
      </c>
    </row>
    <row r="207" spans="1:1" x14ac:dyDescent="0.3">
      <c r="A207" t="s">
        <v>660</v>
      </c>
    </row>
    <row r="208" spans="1:1" x14ac:dyDescent="0.3">
      <c r="A208" t="s">
        <v>661</v>
      </c>
    </row>
    <row r="209" spans="1:1" x14ac:dyDescent="0.3">
      <c r="A209" t="s">
        <v>662</v>
      </c>
    </row>
    <row r="210" spans="1:1" x14ac:dyDescent="0.3">
      <c r="A210" t="s">
        <v>663</v>
      </c>
    </row>
    <row r="211" spans="1:1" x14ac:dyDescent="0.3">
      <c r="A211" t="s">
        <v>664</v>
      </c>
    </row>
    <row r="212" spans="1:1" x14ac:dyDescent="0.3">
      <c r="A212" t="s">
        <v>665</v>
      </c>
    </row>
    <row r="213" spans="1:1" x14ac:dyDescent="0.3">
      <c r="A213" t="s">
        <v>666</v>
      </c>
    </row>
    <row r="214" spans="1:1" x14ac:dyDescent="0.3">
      <c r="A214" t="s">
        <v>667</v>
      </c>
    </row>
    <row r="215" spans="1:1" x14ac:dyDescent="0.3">
      <c r="A215" t="s">
        <v>668</v>
      </c>
    </row>
    <row r="216" spans="1:1" x14ac:dyDescent="0.3">
      <c r="A216" t="s">
        <v>669</v>
      </c>
    </row>
    <row r="217" spans="1:1" x14ac:dyDescent="0.3">
      <c r="A217" t="s">
        <v>670</v>
      </c>
    </row>
    <row r="218" spans="1:1" x14ac:dyDescent="0.3">
      <c r="A218" t="s">
        <v>671</v>
      </c>
    </row>
    <row r="219" spans="1:1" x14ac:dyDescent="0.3">
      <c r="A219" t="s">
        <v>672</v>
      </c>
    </row>
    <row r="220" spans="1:1" x14ac:dyDescent="0.3">
      <c r="A220" t="s">
        <v>673</v>
      </c>
    </row>
    <row r="221" spans="1:1" x14ac:dyDescent="0.3">
      <c r="A221" t="s">
        <v>674</v>
      </c>
    </row>
    <row r="222" spans="1:1" x14ac:dyDescent="0.3">
      <c r="A222" t="s">
        <v>675</v>
      </c>
    </row>
    <row r="223" spans="1:1" x14ac:dyDescent="0.3">
      <c r="A223" t="s">
        <v>676</v>
      </c>
    </row>
    <row r="224" spans="1:1" x14ac:dyDescent="0.3">
      <c r="A224" t="s">
        <v>677</v>
      </c>
    </row>
    <row r="225" spans="1:1" x14ac:dyDescent="0.3">
      <c r="A225" t="s">
        <v>678</v>
      </c>
    </row>
    <row r="226" spans="1:1" x14ac:dyDescent="0.3">
      <c r="A226" t="s">
        <v>679</v>
      </c>
    </row>
    <row r="227" spans="1:1" x14ac:dyDescent="0.3">
      <c r="A227" t="s">
        <v>680</v>
      </c>
    </row>
    <row r="228" spans="1:1" x14ac:dyDescent="0.3">
      <c r="A228" t="s">
        <v>681</v>
      </c>
    </row>
    <row r="229" spans="1:1" x14ac:dyDescent="0.3">
      <c r="A229" t="s">
        <v>682</v>
      </c>
    </row>
    <row r="230" spans="1:1" x14ac:dyDescent="0.3">
      <c r="A230" t="s">
        <v>683</v>
      </c>
    </row>
    <row r="231" spans="1:1" x14ac:dyDescent="0.3">
      <c r="A231" t="s">
        <v>684</v>
      </c>
    </row>
    <row r="232" spans="1:1" x14ac:dyDescent="0.3">
      <c r="A232" t="s">
        <v>685</v>
      </c>
    </row>
    <row r="233" spans="1:1" x14ac:dyDescent="0.3">
      <c r="A233" t="s">
        <v>686</v>
      </c>
    </row>
    <row r="234" spans="1:1" x14ac:dyDescent="0.3">
      <c r="A234" t="s">
        <v>687</v>
      </c>
    </row>
    <row r="235" spans="1:1" x14ac:dyDescent="0.3">
      <c r="A235" t="s">
        <v>688</v>
      </c>
    </row>
    <row r="236" spans="1:1" x14ac:dyDescent="0.3">
      <c r="A236" t="s">
        <v>689</v>
      </c>
    </row>
    <row r="237" spans="1:1" x14ac:dyDescent="0.3">
      <c r="A237" t="s">
        <v>690</v>
      </c>
    </row>
    <row r="238" spans="1:1" x14ac:dyDescent="0.3">
      <c r="A238" t="s">
        <v>691</v>
      </c>
    </row>
    <row r="239" spans="1:1" x14ac:dyDescent="0.3">
      <c r="A239" t="s">
        <v>692</v>
      </c>
    </row>
    <row r="240" spans="1:1" x14ac:dyDescent="0.3">
      <c r="A240" t="s">
        <v>693</v>
      </c>
    </row>
    <row r="241" spans="1:1" x14ac:dyDescent="0.3">
      <c r="A241" t="s">
        <v>694</v>
      </c>
    </row>
    <row r="242" spans="1:1" x14ac:dyDescent="0.3">
      <c r="A242" t="s">
        <v>695</v>
      </c>
    </row>
    <row r="243" spans="1:1" x14ac:dyDescent="0.3">
      <c r="A243" t="s">
        <v>696</v>
      </c>
    </row>
    <row r="244" spans="1:1" x14ac:dyDescent="0.3">
      <c r="A244" t="s">
        <v>697</v>
      </c>
    </row>
    <row r="245" spans="1:1" x14ac:dyDescent="0.3">
      <c r="A245" t="s">
        <v>698</v>
      </c>
    </row>
    <row r="246" spans="1:1" x14ac:dyDescent="0.3">
      <c r="A246" t="s">
        <v>699</v>
      </c>
    </row>
    <row r="247" spans="1:1" x14ac:dyDescent="0.3">
      <c r="A247" t="s">
        <v>700</v>
      </c>
    </row>
    <row r="248" spans="1:1" x14ac:dyDescent="0.3">
      <c r="A248" t="s">
        <v>701</v>
      </c>
    </row>
    <row r="249" spans="1:1" x14ac:dyDescent="0.3">
      <c r="A249" t="s">
        <v>702</v>
      </c>
    </row>
    <row r="250" spans="1:1" x14ac:dyDescent="0.3">
      <c r="A250" t="s">
        <v>703</v>
      </c>
    </row>
    <row r="251" spans="1:1" x14ac:dyDescent="0.3">
      <c r="A251" t="s">
        <v>704</v>
      </c>
    </row>
    <row r="252" spans="1:1" x14ac:dyDescent="0.3">
      <c r="A252" t="s">
        <v>705</v>
      </c>
    </row>
    <row r="253" spans="1:1" x14ac:dyDescent="0.3">
      <c r="A253" t="s">
        <v>706</v>
      </c>
    </row>
    <row r="254" spans="1:1" x14ac:dyDescent="0.3">
      <c r="A254" t="s">
        <v>707</v>
      </c>
    </row>
    <row r="255" spans="1:1" x14ac:dyDescent="0.3">
      <c r="A255" t="s">
        <v>708</v>
      </c>
    </row>
    <row r="256" spans="1:1" x14ac:dyDescent="0.3">
      <c r="A256" t="s">
        <v>709</v>
      </c>
    </row>
    <row r="257" spans="1:1" x14ac:dyDescent="0.3">
      <c r="A257" t="s">
        <v>710</v>
      </c>
    </row>
    <row r="258" spans="1:1" x14ac:dyDescent="0.3">
      <c r="A258" t="s">
        <v>711</v>
      </c>
    </row>
    <row r="259" spans="1:1" x14ac:dyDescent="0.3">
      <c r="A259" t="s">
        <v>712</v>
      </c>
    </row>
    <row r="260" spans="1:1" x14ac:dyDescent="0.3">
      <c r="A260" t="s">
        <v>713</v>
      </c>
    </row>
    <row r="261" spans="1:1" x14ac:dyDescent="0.3">
      <c r="A261" t="s">
        <v>714</v>
      </c>
    </row>
    <row r="262" spans="1:1" x14ac:dyDescent="0.3">
      <c r="A262" t="s">
        <v>715</v>
      </c>
    </row>
    <row r="263" spans="1:1" x14ac:dyDescent="0.3">
      <c r="A263" t="s">
        <v>716</v>
      </c>
    </row>
    <row r="264" spans="1:1" x14ac:dyDescent="0.3">
      <c r="A264" t="s">
        <v>717</v>
      </c>
    </row>
    <row r="265" spans="1:1" x14ac:dyDescent="0.3">
      <c r="A265" t="s">
        <v>718</v>
      </c>
    </row>
    <row r="266" spans="1:1" x14ac:dyDescent="0.3">
      <c r="A266" t="s">
        <v>719</v>
      </c>
    </row>
    <row r="267" spans="1:1" x14ac:dyDescent="0.3">
      <c r="A267" t="s">
        <v>720</v>
      </c>
    </row>
    <row r="268" spans="1:1" x14ac:dyDescent="0.3">
      <c r="A268" t="s">
        <v>721</v>
      </c>
    </row>
    <row r="269" spans="1:1" x14ac:dyDescent="0.3">
      <c r="A269" t="s">
        <v>722</v>
      </c>
    </row>
    <row r="270" spans="1:1" x14ac:dyDescent="0.3">
      <c r="A270" t="s">
        <v>723</v>
      </c>
    </row>
    <row r="271" spans="1:1" x14ac:dyDescent="0.3">
      <c r="A271" t="s">
        <v>724</v>
      </c>
    </row>
    <row r="272" spans="1:1" x14ac:dyDescent="0.3">
      <c r="A272" t="s">
        <v>725</v>
      </c>
    </row>
    <row r="273" spans="1:1" x14ac:dyDescent="0.3">
      <c r="A273" t="s">
        <v>726</v>
      </c>
    </row>
    <row r="274" spans="1:1" x14ac:dyDescent="0.3">
      <c r="A274" t="s">
        <v>727</v>
      </c>
    </row>
    <row r="275" spans="1:1" x14ac:dyDescent="0.3">
      <c r="A275" t="s">
        <v>728</v>
      </c>
    </row>
    <row r="276" spans="1:1" x14ac:dyDescent="0.3">
      <c r="A276" t="s">
        <v>729</v>
      </c>
    </row>
    <row r="277" spans="1:1" x14ac:dyDescent="0.3">
      <c r="A277" t="s">
        <v>730</v>
      </c>
    </row>
    <row r="278" spans="1:1" x14ac:dyDescent="0.3">
      <c r="A278" t="s">
        <v>731</v>
      </c>
    </row>
    <row r="279" spans="1:1" x14ac:dyDescent="0.3">
      <c r="A279" t="s">
        <v>732</v>
      </c>
    </row>
    <row r="280" spans="1:1" x14ac:dyDescent="0.3">
      <c r="A280" t="s">
        <v>733</v>
      </c>
    </row>
    <row r="281" spans="1:1" x14ac:dyDescent="0.3">
      <c r="A281" t="s">
        <v>734</v>
      </c>
    </row>
    <row r="282" spans="1:1" x14ac:dyDescent="0.3">
      <c r="A282" t="s">
        <v>735</v>
      </c>
    </row>
    <row r="283" spans="1:1" x14ac:dyDescent="0.3">
      <c r="A283" t="s">
        <v>736</v>
      </c>
    </row>
    <row r="284" spans="1:1" x14ac:dyDescent="0.3">
      <c r="A284" t="s">
        <v>737</v>
      </c>
    </row>
    <row r="285" spans="1:1" x14ac:dyDescent="0.3">
      <c r="A285" t="s">
        <v>738</v>
      </c>
    </row>
    <row r="286" spans="1:1" x14ac:dyDescent="0.3">
      <c r="A286" t="s">
        <v>739</v>
      </c>
    </row>
    <row r="287" spans="1:1" x14ac:dyDescent="0.3">
      <c r="A287" t="s">
        <v>740</v>
      </c>
    </row>
    <row r="288" spans="1:1" x14ac:dyDescent="0.3">
      <c r="A288" t="s">
        <v>741</v>
      </c>
    </row>
    <row r="289" spans="1:1" x14ac:dyDescent="0.3">
      <c r="A289" t="s">
        <v>742</v>
      </c>
    </row>
    <row r="290" spans="1:1" x14ac:dyDescent="0.3">
      <c r="A290" t="s">
        <v>743</v>
      </c>
    </row>
    <row r="291" spans="1:1" x14ac:dyDescent="0.3">
      <c r="A291" t="s">
        <v>744</v>
      </c>
    </row>
    <row r="292" spans="1:1" x14ac:dyDescent="0.3">
      <c r="A292" t="s">
        <v>745</v>
      </c>
    </row>
    <row r="293" spans="1:1" x14ac:dyDescent="0.3">
      <c r="A293" t="s">
        <v>746</v>
      </c>
    </row>
    <row r="294" spans="1:1" x14ac:dyDescent="0.3">
      <c r="A294" t="s">
        <v>747</v>
      </c>
    </row>
    <row r="295" spans="1:1" x14ac:dyDescent="0.3">
      <c r="A295" t="s">
        <v>748</v>
      </c>
    </row>
    <row r="296" spans="1:1" x14ac:dyDescent="0.3">
      <c r="A296" t="s">
        <v>749</v>
      </c>
    </row>
    <row r="297" spans="1:1" x14ac:dyDescent="0.3">
      <c r="A297" t="s">
        <v>750</v>
      </c>
    </row>
    <row r="298" spans="1:1" x14ac:dyDescent="0.3">
      <c r="A298" t="s">
        <v>751</v>
      </c>
    </row>
    <row r="299" spans="1:1" x14ac:dyDescent="0.3">
      <c r="A299" t="s">
        <v>752</v>
      </c>
    </row>
    <row r="300" spans="1:1" x14ac:dyDescent="0.3">
      <c r="A300" t="s">
        <v>753</v>
      </c>
    </row>
    <row r="301" spans="1:1" x14ac:dyDescent="0.3">
      <c r="A301" t="s">
        <v>754</v>
      </c>
    </row>
    <row r="302" spans="1:1" x14ac:dyDescent="0.3">
      <c r="A302" t="s">
        <v>755</v>
      </c>
    </row>
    <row r="303" spans="1:1" x14ac:dyDescent="0.3">
      <c r="A303" t="s">
        <v>756</v>
      </c>
    </row>
    <row r="304" spans="1:1" x14ac:dyDescent="0.3">
      <c r="A304" t="s">
        <v>757</v>
      </c>
    </row>
    <row r="305" spans="1:1" x14ac:dyDescent="0.3">
      <c r="A305" t="s">
        <v>758</v>
      </c>
    </row>
    <row r="306" spans="1:1" x14ac:dyDescent="0.3">
      <c r="A306" t="s">
        <v>759</v>
      </c>
    </row>
    <row r="307" spans="1:1" x14ac:dyDescent="0.3">
      <c r="A307" t="s">
        <v>760</v>
      </c>
    </row>
    <row r="308" spans="1:1" x14ac:dyDescent="0.3">
      <c r="A308" t="s">
        <v>761</v>
      </c>
    </row>
    <row r="309" spans="1:1" x14ac:dyDescent="0.3">
      <c r="A309" t="s">
        <v>762</v>
      </c>
    </row>
    <row r="310" spans="1:1" x14ac:dyDescent="0.3">
      <c r="A310" t="s">
        <v>763</v>
      </c>
    </row>
    <row r="311" spans="1:1" x14ac:dyDescent="0.3">
      <c r="A311" t="s">
        <v>764</v>
      </c>
    </row>
    <row r="312" spans="1:1" x14ac:dyDescent="0.3">
      <c r="A312" t="s">
        <v>765</v>
      </c>
    </row>
    <row r="313" spans="1:1" x14ac:dyDescent="0.3">
      <c r="A313" t="s">
        <v>766</v>
      </c>
    </row>
    <row r="314" spans="1:1" x14ac:dyDescent="0.3">
      <c r="A314" t="s">
        <v>767</v>
      </c>
    </row>
    <row r="315" spans="1:1" x14ac:dyDescent="0.3">
      <c r="A315" t="s">
        <v>768</v>
      </c>
    </row>
    <row r="316" spans="1:1" x14ac:dyDescent="0.3">
      <c r="A316" t="s">
        <v>769</v>
      </c>
    </row>
    <row r="317" spans="1:1" x14ac:dyDescent="0.3">
      <c r="A317" t="s">
        <v>770</v>
      </c>
    </row>
    <row r="318" spans="1:1" x14ac:dyDescent="0.3">
      <c r="A318" t="s">
        <v>771</v>
      </c>
    </row>
    <row r="319" spans="1:1" x14ac:dyDescent="0.3">
      <c r="A319" t="s">
        <v>772</v>
      </c>
    </row>
    <row r="320" spans="1:1" x14ac:dyDescent="0.3">
      <c r="A320" t="s">
        <v>773</v>
      </c>
    </row>
    <row r="321" spans="1:1" x14ac:dyDescent="0.3">
      <c r="A321" t="s">
        <v>774</v>
      </c>
    </row>
    <row r="322" spans="1:1" x14ac:dyDescent="0.3">
      <c r="A322" t="s">
        <v>775</v>
      </c>
    </row>
    <row r="323" spans="1:1" x14ac:dyDescent="0.3">
      <c r="A323" t="s">
        <v>776</v>
      </c>
    </row>
    <row r="324" spans="1:1" x14ac:dyDescent="0.3">
      <c r="A324" t="s">
        <v>777</v>
      </c>
    </row>
    <row r="325" spans="1:1" x14ac:dyDescent="0.3">
      <c r="A325" t="s">
        <v>778</v>
      </c>
    </row>
    <row r="326" spans="1:1" x14ac:dyDescent="0.3">
      <c r="A326" t="s">
        <v>779</v>
      </c>
    </row>
    <row r="327" spans="1:1" x14ac:dyDescent="0.3">
      <c r="A327" t="s">
        <v>780</v>
      </c>
    </row>
    <row r="328" spans="1:1" x14ac:dyDescent="0.3">
      <c r="A328" t="s">
        <v>781</v>
      </c>
    </row>
    <row r="329" spans="1:1" x14ac:dyDescent="0.3">
      <c r="A329" t="s">
        <v>782</v>
      </c>
    </row>
    <row r="330" spans="1:1" x14ac:dyDescent="0.3">
      <c r="A330" t="s">
        <v>783</v>
      </c>
    </row>
    <row r="331" spans="1:1" x14ac:dyDescent="0.3">
      <c r="A331" t="s">
        <v>784</v>
      </c>
    </row>
    <row r="332" spans="1:1" x14ac:dyDescent="0.3">
      <c r="A332" t="s">
        <v>785</v>
      </c>
    </row>
    <row r="333" spans="1:1" x14ac:dyDescent="0.3">
      <c r="A333" t="s">
        <v>786</v>
      </c>
    </row>
    <row r="334" spans="1:1" x14ac:dyDescent="0.3">
      <c r="A334" t="s">
        <v>787</v>
      </c>
    </row>
    <row r="335" spans="1:1" x14ac:dyDescent="0.3">
      <c r="A335" t="s">
        <v>788</v>
      </c>
    </row>
    <row r="336" spans="1:1" x14ac:dyDescent="0.3">
      <c r="A336" t="s">
        <v>789</v>
      </c>
    </row>
    <row r="337" spans="1:21" x14ac:dyDescent="0.3">
      <c r="A337" t="s">
        <v>790</v>
      </c>
    </row>
    <row r="338" spans="1:21" x14ac:dyDescent="0.3">
      <c r="A338" t="s">
        <v>791</v>
      </c>
    </row>
    <row r="339" spans="1:21" x14ac:dyDescent="0.3">
      <c r="A339" t="s">
        <v>792</v>
      </c>
    </row>
    <row r="340" spans="1:21" x14ac:dyDescent="0.3">
      <c r="A340" t="s">
        <v>793</v>
      </c>
    </row>
    <row r="341" spans="1:21" x14ac:dyDescent="0.3">
      <c r="A341" t="s">
        <v>794</v>
      </c>
    </row>
    <row r="342" spans="1:21" x14ac:dyDescent="0.3">
      <c r="A342" t="s">
        <v>795</v>
      </c>
    </row>
    <row r="343" spans="1:21" x14ac:dyDescent="0.3">
      <c r="A343" t="s">
        <v>796</v>
      </c>
    </row>
    <row r="344" spans="1:21" x14ac:dyDescent="0.3">
      <c r="A344" t="s">
        <v>797</v>
      </c>
    </row>
    <row r="345" spans="1:21" x14ac:dyDescent="0.3">
      <c r="A345" t="s">
        <v>798</v>
      </c>
    </row>
    <row r="346" spans="1:21" x14ac:dyDescent="0.3">
      <c r="A346" t="s">
        <v>799</v>
      </c>
    </row>
    <row r="347" spans="1:21" x14ac:dyDescent="0.3">
      <c r="A347" t="s">
        <v>800</v>
      </c>
    </row>
    <row r="348" spans="1:21" x14ac:dyDescent="0.3">
      <c r="A348" t="s">
        <v>801</v>
      </c>
    </row>
    <row r="349" spans="1:21" x14ac:dyDescent="0.3">
      <c r="A349" t="s">
        <v>802</v>
      </c>
    </row>
    <row r="350" spans="1:21" x14ac:dyDescent="0.3">
      <c r="A350" t="s">
        <v>803</v>
      </c>
    </row>
    <row r="351" spans="1:21" x14ac:dyDescent="0.3">
      <c r="A351" t="s">
        <v>804</v>
      </c>
      <c r="T351" s="39"/>
      <c r="U351" s="39"/>
    </row>
    <row r="352" spans="1:21" x14ac:dyDescent="0.3">
      <c r="A352" t="s">
        <v>805</v>
      </c>
      <c r="T352" s="39"/>
      <c r="U352" s="39"/>
    </row>
    <row r="353" spans="1:24" x14ac:dyDescent="0.3">
      <c r="A353" t="s">
        <v>806</v>
      </c>
    </row>
    <row r="354" spans="1:24" x14ac:dyDescent="0.3">
      <c r="A354" t="s">
        <v>807</v>
      </c>
      <c r="S354" s="18"/>
      <c r="T354" s="18"/>
      <c r="U354" s="39"/>
      <c r="W354" s="18"/>
      <c r="X354" s="18"/>
    </row>
    <row r="355" spans="1:24" x14ac:dyDescent="0.3">
      <c r="A355" t="s">
        <v>73</v>
      </c>
      <c r="S355" s="18"/>
      <c r="T355" s="18"/>
      <c r="U355" s="39"/>
      <c r="W355" s="18"/>
      <c r="X355" s="18"/>
    </row>
    <row r="356" spans="1:24" x14ac:dyDescent="0.3">
      <c r="A356" t="s">
        <v>808</v>
      </c>
      <c r="S356" s="18"/>
      <c r="T356" s="18"/>
      <c r="W356" s="18"/>
      <c r="X356" s="18"/>
    </row>
    <row r="357" spans="1:24" x14ac:dyDescent="0.3">
      <c r="A357" t="s">
        <v>809</v>
      </c>
    </row>
    <row r="358" spans="1:24" x14ac:dyDescent="0.3">
      <c r="A358" t="s">
        <v>810</v>
      </c>
    </row>
    <row r="359" spans="1:24" x14ac:dyDescent="0.3">
      <c r="A359" t="s">
        <v>811</v>
      </c>
    </row>
    <row r="360" spans="1:24" x14ac:dyDescent="0.3">
      <c r="A360" t="s">
        <v>807</v>
      </c>
    </row>
    <row r="361" spans="1:24" x14ac:dyDescent="0.3">
      <c r="A361" t="s">
        <v>73</v>
      </c>
    </row>
    <row r="362" spans="1:24" x14ac:dyDescent="0.3">
      <c r="A362" t="s">
        <v>812</v>
      </c>
    </row>
    <row r="363" spans="1:24" x14ac:dyDescent="0.3">
      <c r="A363" t="s">
        <v>809</v>
      </c>
    </row>
    <row r="364" spans="1:24" x14ac:dyDescent="0.3">
      <c r="A364" t="s">
        <v>813</v>
      </c>
    </row>
    <row r="365" spans="1:24" x14ac:dyDescent="0.3">
      <c r="A365" t="s">
        <v>814</v>
      </c>
    </row>
    <row r="366" spans="1:24" x14ac:dyDescent="0.3">
      <c r="A366" t="s">
        <v>815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5513-95AF-4047-8FB2-3BAB0BE2620D}">
  <dimension ref="A2:BM720"/>
  <sheetViews>
    <sheetView topLeftCell="A34" workbookViewId="0">
      <selection activeCell="H33" sqref="H33"/>
    </sheetView>
  </sheetViews>
  <sheetFormatPr defaultRowHeight="14.4" x14ac:dyDescent="0.3"/>
  <cols>
    <col min="3" max="3" width="26.5546875" bestFit="1" customWidth="1"/>
    <col min="4" max="4" width="27.44140625" bestFit="1" customWidth="1"/>
    <col min="5" max="5" width="32.5546875" customWidth="1"/>
    <col min="6" max="6" width="15" bestFit="1" customWidth="1"/>
    <col min="7" max="7" width="18.44140625" bestFit="1" customWidth="1"/>
    <col min="8" max="8" width="19.6640625" bestFit="1" customWidth="1"/>
    <col min="9" max="9" width="9.88671875" bestFit="1" customWidth="1"/>
    <col min="10" max="10" width="22.88671875" customWidth="1"/>
    <col min="11" max="11" width="20.109375" bestFit="1" customWidth="1"/>
    <col min="12" max="12" width="28.44140625" bestFit="1" customWidth="1"/>
    <col min="13" max="13" width="15.109375" bestFit="1" customWidth="1"/>
    <col min="14" max="14" width="15.5546875" bestFit="1" customWidth="1"/>
    <col min="15" max="15" width="15.109375" bestFit="1" customWidth="1"/>
    <col min="16" max="16" width="11.109375" bestFit="1" customWidth="1"/>
    <col min="17" max="17" width="7.44140625" bestFit="1" customWidth="1"/>
    <col min="18" max="18" width="9.5546875" bestFit="1" customWidth="1"/>
    <col min="52" max="52" width="14.6640625" bestFit="1" customWidth="1"/>
    <col min="53" max="53" width="20.6640625" bestFit="1" customWidth="1"/>
    <col min="63" max="63" width="28.21875" bestFit="1" customWidth="1"/>
  </cols>
  <sheetData>
    <row r="2" spans="1:65" x14ac:dyDescent="0.3">
      <c r="B2" s="1" t="s">
        <v>1118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65" x14ac:dyDescent="0.3">
      <c r="B3" s="50" t="s">
        <v>1119</v>
      </c>
    </row>
    <row r="4" spans="1:65" x14ac:dyDescent="0.3">
      <c r="B4" s="50"/>
    </row>
    <row r="5" spans="1:65" x14ac:dyDescent="0.3">
      <c r="C5" s="2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65" x14ac:dyDescent="0.3">
      <c r="C6" s="3" t="s">
        <v>1</v>
      </c>
      <c r="D6" s="3" t="s">
        <v>459</v>
      </c>
      <c r="E6" s="3" t="s">
        <v>1120</v>
      </c>
      <c r="F6" s="3" t="s">
        <v>1121</v>
      </c>
      <c r="G6" s="3" t="s">
        <v>1122</v>
      </c>
      <c r="H6" s="3" t="s">
        <v>1123</v>
      </c>
      <c r="I6" s="3" t="s">
        <v>1124</v>
      </c>
      <c r="J6" s="3" t="s">
        <v>1125</v>
      </c>
      <c r="K6" s="3" t="s">
        <v>1126</v>
      </c>
      <c r="L6" s="3" t="s">
        <v>1127</v>
      </c>
      <c r="M6" s="3" t="s">
        <v>1128</v>
      </c>
      <c r="N6" s="3" t="s">
        <v>1129</v>
      </c>
      <c r="O6" s="3" t="s">
        <v>1130</v>
      </c>
      <c r="P6" s="3" t="s">
        <v>1131</v>
      </c>
      <c r="Q6" s="3" t="s">
        <v>1132</v>
      </c>
      <c r="R6" s="3" t="s">
        <v>1133</v>
      </c>
      <c r="S6" s="3" t="s">
        <v>1134</v>
      </c>
      <c r="T6" s="3" t="s">
        <v>1135</v>
      </c>
      <c r="U6" s="3" t="s">
        <v>1136</v>
      </c>
      <c r="V6" s="3" t="s">
        <v>1137</v>
      </c>
      <c r="W6" s="3" t="s">
        <v>1138</v>
      </c>
      <c r="X6" s="3" t="s">
        <v>1139</v>
      </c>
      <c r="Y6" s="3" t="s">
        <v>1140</v>
      </c>
      <c r="Z6" s="3" t="s">
        <v>1141</v>
      </c>
      <c r="AA6" s="3" t="s">
        <v>1142</v>
      </c>
      <c r="AB6" s="3" t="s">
        <v>1143</v>
      </c>
      <c r="AC6" s="3" t="s">
        <v>1144</v>
      </c>
      <c r="AD6" s="3" t="s">
        <v>1145</v>
      </c>
      <c r="AE6" s="3" t="s">
        <v>1146</v>
      </c>
      <c r="AF6" s="3" t="s">
        <v>1147</v>
      </c>
      <c r="AG6" s="3" t="s">
        <v>1148</v>
      </c>
      <c r="AH6" s="3" t="s">
        <v>1149</v>
      </c>
      <c r="AI6" s="3" t="s">
        <v>1150</v>
      </c>
      <c r="AJ6" s="3" t="s">
        <v>1151</v>
      </c>
      <c r="AK6" s="3" t="s">
        <v>1152</v>
      </c>
      <c r="AL6" s="3" t="s">
        <v>1153</v>
      </c>
      <c r="AM6" s="3" t="s">
        <v>1154</v>
      </c>
      <c r="AN6" s="3" t="s">
        <v>1155</v>
      </c>
      <c r="AO6" s="3" t="s">
        <v>1156</v>
      </c>
      <c r="AP6" s="3" t="s">
        <v>1157</v>
      </c>
      <c r="AQ6" s="3" t="s">
        <v>1158</v>
      </c>
      <c r="AR6" s="3" t="s">
        <v>1159</v>
      </c>
      <c r="AS6" s="3" t="s">
        <v>1160</v>
      </c>
      <c r="AT6" s="3" t="s">
        <v>1161</v>
      </c>
      <c r="AU6" s="3" t="s">
        <v>1162</v>
      </c>
      <c r="AV6" s="3" t="s">
        <v>1163</v>
      </c>
      <c r="AW6" s="3" t="s">
        <v>1164</v>
      </c>
      <c r="AX6" s="3" t="s">
        <v>1165</v>
      </c>
      <c r="AY6" s="3" t="s">
        <v>1166</v>
      </c>
      <c r="AZ6" s="3" t="s">
        <v>1167</v>
      </c>
      <c r="BA6" s="3" t="s">
        <v>1168</v>
      </c>
      <c r="BB6" s="3" t="s">
        <v>1169</v>
      </c>
      <c r="BC6" s="3" t="s">
        <v>1170</v>
      </c>
      <c r="BD6" s="3" t="s">
        <v>1171</v>
      </c>
      <c r="BE6" s="3" t="s">
        <v>1172</v>
      </c>
      <c r="BF6" s="3" t="s">
        <v>1173</v>
      </c>
      <c r="BG6" s="3" t="s">
        <v>1174</v>
      </c>
      <c r="BH6" s="3" t="s">
        <v>1175</v>
      </c>
      <c r="BI6" s="3" t="s">
        <v>1176</v>
      </c>
      <c r="BJ6" s="3" t="s">
        <v>1177</v>
      </c>
      <c r="BK6" s="3" t="s">
        <v>1178</v>
      </c>
      <c r="BL6" s="3" t="s">
        <v>1179</v>
      </c>
      <c r="BM6" s="3" t="s">
        <v>1180</v>
      </c>
    </row>
    <row r="7" spans="1:65" x14ac:dyDescent="0.3">
      <c r="B7" t="s">
        <v>1181</v>
      </c>
      <c r="C7" s="51">
        <v>45565</v>
      </c>
      <c r="D7" s="3" t="s">
        <v>37</v>
      </c>
      <c r="E7" s="3">
        <v>344637</v>
      </c>
      <c r="F7" s="3">
        <v>344637</v>
      </c>
      <c r="G7" s="3">
        <v>0</v>
      </c>
      <c r="H7" s="3">
        <v>0</v>
      </c>
      <c r="I7" s="3">
        <v>0</v>
      </c>
      <c r="J7" s="3">
        <v>0</v>
      </c>
      <c r="K7" s="3">
        <v>344637</v>
      </c>
      <c r="L7" s="3">
        <v>344637</v>
      </c>
      <c r="M7" s="5">
        <v>13</v>
      </c>
      <c r="N7" s="5">
        <v>747</v>
      </c>
      <c r="O7" s="5">
        <v>1434</v>
      </c>
      <c r="P7" s="5">
        <v>1434</v>
      </c>
      <c r="Q7" s="5">
        <v>1923</v>
      </c>
      <c r="R7" s="5">
        <v>23391</v>
      </c>
      <c r="S7" s="5">
        <v>9697</v>
      </c>
      <c r="T7" s="5">
        <v>4610</v>
      </c>
      <c r="U7" s="5">
        <v>5057</v>
      </c>
      <c r="V7" s="5">
        <v>36461</v>
      </c>
      <c r="W7" s="5">
        <v>179</v>
      </c>
      <c r="X7" s="5">
        <v>383</v>
      </c>
      <c r="Y7" s="5">
        <v>75216</v>
      </c>
      <c r="Z7" s="5">
        <v>1238</v>
      </c>
      <c r="AA7" s="5">
        <v>1233</v>
      </c>
      <c r="AB7" s="5">
        <v>8378</v>
      </c>
      <c r="AC7" s="5">
        <v>8319</v>
      </c>
      <c r="AD7" s="5">
        <v>319915</v>
      </c>
      <c r="AE7" s="5">
        <v>3635</v>
      </c>
      <c r="AF7" s="5">
        <v>3636</v>
      </c>
      <c r="AG7" s="5">
        <v>298413</v>
      </c>
      <c r="AH7" s="3">
        <v>0</v>
      </c>
      <c r="AI7" s="3">
        <v>0</v>
      </c>
      <c r="AJ7" s="3">
        <v>0</v>
      </c>
      <c r="AK7" s="5">
        <v>257816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5">
        <v>4</v>
      </c>
      <c r="AU7" s="5">
        <v>252835</v>
      </c>
      <c r="AV7" s="5">
        <v>179</v>
      </c>
      <c r="AW7" s="3">
        <v>0</v>
      </c>
      <c r="AX7" s="3">
        <v>0</v>
      </c>
      <c r="AY7" s="3">
        <v>0</v>
      </c>
      <c r="AZ7" s="5">
        <v>167</v>
      </c>
      <c r="BA7" s="5">
        <v>167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5">
        <v>1</v>
      </c>
      <c r="BJ7" s="3">
        <v>0</v>
      </c>
      <c r="BK7" s="3">
        <v>0</v>
      </c>
      <c r="BL7" s="3">
        <v>0</v>
      </c>
      <c r="BM7" s="3">
        <v>344637</v>
      </c>
    </row>
    <row r="8" spans="1:65" s="18" customFormat="1" x14ac:dyDescent="0.3">
      <c r="A8"/>
      <c r="B8"/>
      <c r="C8" s="3" t="s">
        <v>1</v>
      </c>
      <c r="D8" s="3" t="s">
        <v>459</v>
      </c>
      <c r="E8" s="3" t="s">
        <v>1120</v>
      </c>
      <c r="F8" s="3" t="s">
        <v>1121</v>
      </c>
      <c r="G8" s="3" t="s">
        <v>1122</v>
      </c>
      <c r="H8" s="3" t="s">
        <v>1123</v>
      </c>
      <c r="I8" s="3" t="s">
        <v>1124</v>
      </c>
      <c r="J8" s="3" t="s">
        <v>1125</v>
      </c>
      <c r="K8" s="3" t="s">
        <v>1126</v>
      </c>
      <c r="L8" s="3" t="s">
        <v>1127</v>
      </c>
      <c r="M8" s="3" t="s">
        <v>1128</v>
      </c>
      <c r="N8" s="3" t="s">
        <v>1129</v>
      </c>
      <c r="O8" s="3" t="s">
        <v>1130</v>
      </c>
      <c r="P8" s="3" t="s">
        <v>1131</v>
      </c>
      <c r="Q8" s="3" t="s">
        <v>1132</v>
      </c>
      <c r="R8" s="3" t="s">
        <v>1133</v>
      </c>
      <c r="S8" s="3" t="s">
        <v>1134</v>
      </c>
      <c r="T8" s="3" t="s">
        <v>1135</v>
      </c>
      <c r="U8" s="3" t="s">
        <v>1136</v>
      </c>
      <c r="V8" s="3" t="s">
        <v>1137</v>
      </c>
      <c r="W8" s="3" t="s">
        <v>1138</v>
      </c>
      <c r="X8" s="3" t="s">
        <v>1139</v>
      </c>
      <c r="Y8" s="3" t="s">
        <v>1140</v>
      </c>
      <c r="Z8" s="3" t="s">
        <v>1141</v>
      </c>
      <c r="AA8" s="3" t="s">
        <v>1142</v>
      </c>
      <c r="AB8" s="3" t="s">
        <v>1143</v>
      </c>
      <c r="AC8" s="3" t="s">
        <v>1144</v>
      </c>
      <c r="AD8" s="3" t="s">
        <v>1145</v>
      </c>
      <c r="AE8" s="3" t="s">
        <v>1146</v>
      </c>
      <c r="AF8" s="3" t="s">
        <v>1147</v>
      </c>
      <c r="AG8" s="3" t="s">
        <v>1148</v>
      </c>
      <c r="AH8" s="3" t="s">
        <v>1149</v>
      </c>
      <c r="AI8" s="3" t="s">
        <v>1150</v>
      </c>
      <c r="AJ8" s="3" t="s">
        <v>1151</v>
      </c>
      <c r="AK8" s="3" t="s">
        <v>1152</v>
      </c>
      <c r="AL8" s="3" t="s">
        <v>1153</v>
      </c>
      <c r="AM8" s="3" t="s">
        <v>1154</v>
      </c>
      <c r="AN8" s="3" t="s">
        <v>1155</v>
      </c>
      <c r="AO8" s="3" t="s">
        <v>1156</v>
      </c>
      <c r="AP8" s="3" t="s">
        <v>1157</v>
      </c>
      <c r="AQ8" s="3" t="s">
        <v>1158</v>
      </c>
      <c r="AR8" s="3" t="s">
        <v>1159</v>
      </c>
      <c r="AS8" s="3" t="s">
        <v>1160</v>
      </c>
      <c r="AT8" s="3" t="s">
        <v>1161</v>
      </c>
      <c r="AU8" s="3" t="s">
        <v>1162</v>
      </c>
      <c r="AV8" s="3" t="s">
        <v>1163</v>
      </c>
      <c r="AW8" s="3" t="s">
        <v>1164</v>
      </c>
      <c r="AX8" s="3" t="s">
        <v>1165</v>
      </c>
      <c r="AY8" s="3" t="s">
        <v>1166</v>
      </c>
      <c r="AZ8" s="3" t="s">
        <v>1167</v>
      </c>
      <c r="BA8" s="3" t="s">
        <v>1168</v>
      </c>
      <c r="BB8" s="3" t="s">
        <v>1169</v>
      </c>
      <c r="BC8" s="3" t="s">
        <v>1170</v>
      </c>
      <c r="BD8" s="3" t="s">
        <v>1171</v>
      </c>
      <c r="BE8" s="3" t="s">
        <v>1172</v>
      </c>
      <c r="BF8" s="3" t="s">
        <v>1173</v>
      </c>
      <c r="BG8" s="3" t="s">
        <v>1174</v>
      </c>
      <c r="BH8" s="3" t="s">
        <v>1175</v>
      </c>
      <c r="BI8" s="3" t="s">
        <v>1176</v>
      </c>
      <c r="BJ8" s="3" t="s">
        <v>1177</v>
      </c>
      <c r="BK8" s="3" t="s">
        <v>1178</v>
      </c>
      <c r="BL8" s="3" t="s">
        <v>1179</v>
      </c>
      <c r="BM8" s="3" t="s">
        <v>1180</v>
      </c>
    </row>
    <row r="9" spans="1:65" s="18" customFormat="1" x14ac:dyDescent="0.3">
      <c r="B9" s="18" t="s">
        <v>1182</v>
      </c>
      <c r="C9" s="51">
        <v>45565</v>
      </c>
      <c r="D9" s="3" t="s">
        <v>31</v>
      </c>
      <c r="E9" s="3">
        <v>344637</v>
      </c>
      <c r="F9" s="3">
        <v>344637</v>
      </c>
      <c r="G9" s="3">
        <v>0</v>
      </c>
      <c r="H9" s="3">
        <v>0</v>
      </c>
      <c r="I9" s="3">
        <v>0</v>
      </c>
      <c r="J9" s="3">
        <v>0</v>
      </c>
      <c r="K9" s="3">
        <v>344637</v>
      </c>
      <c r="L9" s="3">
        <v>344637</v>
      </c>
      <c r="M9" s="5">
        <v>13</v>
      </c>
      <c r="N9" s="5">
        <v>747</v>
      </c>
      <c r="O9" s="5">
        <v>1434</v>
      </c>
      <c r="P9" s="5">
        <v>1434</v>
      </c>
      <c r="Q9" s="5">
        <v>1923</v>
      </c>
      <c r="R9" s="5">
        <v>23391</v>
      </c>
      <c r="S9" s="5">
        <v>9697</v>
      </c>
      <c r="T9" s="5">
        <v>4610</v>
      </c>
      <c r="U9" s="5">
        <v>5057</v>
      </c>
      <c r="V9" s="5">
        <v>36461</v>
      </c>
      <c r="W9" s="5">
        <v>179</v>
      </c>
      <c r="X9" s="5">
        <v>383</v>
      </c>
      <c r="Y9" s="5">
        <v>75216</v>
      </c>
      <c r="Z9" s="5">
        <v>1238</v>
      </c>
      <c r="AA9" s="5">
        <v>1233</v>
      </c>
      <c r="AB9" s="5">
        <v>8378</v>
      </c>
      <c r="AC9" s="5">
        <v>8319</v>
      </c>
      <c r="AD9" s="5">
        <v>319915</v>
      </c>
      <c r="AE9" s="5">
        <v>3635</v>
      </c>
      <c r="AF9" s="5">
        <v>3636</v>
      </c>
      <c r="AG9" s="5">
        <v>298413</v>
      </c>
      <c r="AH9" s="3">
        <v>0</v>
      </c>
      <c r="AI9" s="3">
        <v>0</v>
      </c>
      <c r="AJ9" s="3">
        <v>0</v>
      </c>
      <c r="AK9" s="5">
        <v>257816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5">
        <v>4</v>
      </c>
      <c r="AU9" s="5">
        <v>252835</v>
      </c>
      <c r="AV9" s="5">
        <v>179</v>
      </c>
      <c r="AW9" s="3">
        <v>0</v>
      </c>
      <c r="AX9" s="3">
        <v>0</v>
      </c>
      <c r="AY9" s="3">
        <v>0</v>
      </c>
      <c r="AZ9" s="5">
        <v>167</v>
      </c>
      <c r="BA9" s="5">
        <v>167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5">
        <v>1</v>
      </c>
      <c r="BJ9" s="3">
        <v>0</v>
      </c>
      <c r="BK9" s="3">
        <v>0</v>
      </c>
      <c r="BL9" s="3">
        <v>0</v>
      </c>
      <c r="BM9" s="3">
        <v>0</v>
      </c>
    </row>
    <row r="10" spans="1:65" x14ac:dyDescent="0.3"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2" spans="1:65" x14ac:dyDescent="0.3">
      <c r="C12" s="19" t="s">
        <v>20</v>
      </c>
    </row>
    <row r="13" spans="1:65" ht="14.4" customHeight="1" x14ac:dyDescent="0.3">
      <c r="D13" s="52" t="s">
        <v>1183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65" x14ac:dyDescent="0.3">
      <c r="C14" s="20" t="s">
        <v>21</v>
      </c>
    </row>
    <row r="15" spans="1:65" ht="14.4" customHeight="1" x14ac:dyDescent="0.3">
      <c r="D15" s="53" t="s">
        <v>1184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</row>
    <row r="16" spans="1:65" x14ac:dyDescent="0.3">
      <c r="C16" s="20" t="s">
        <v>22</v>
      </c>
    </row>
    <row r="17" spans="3:16" x14ac:dyDescent="0.3"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3:16" x14ac:dyDescent="0.3">
      <c r="C18" s="20" t="s">
        <v>23</v>
      </c>
    </row>
    <row r="19" spans="3:16" x14ac:dyDescent="0.3"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3:16" x14ac:dyDescent="0.3"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3:16" x14ac:dyDescent="0.3">
      <c r="C21" s="2" t="s">
        <v>24</v>
      </c>
      <c r="D21" s="22"/>
      <c r="E21" s="2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3" spans="3:16" x14ac:dyDescent="0.3">
      <c r="C23" t="s">
        <v>1128</v>
      </c>
      <c r="D23" s="54">
        <v>13</v>
      </c>
      <c r="E23" s="37" t="s">
        <v>1185</v>
      </c>
    </row>
    <row r="24" spans="3:16" x14ac:dyDescent="0.3">
      <c r="C24" t="s">
        <v>1129</v>
      </c>
      <c r="D24" s="54">
        <v>747</v>
      </c>
      <c r="E24" s="37" t="s">
        <v>1186</v>
      </c>
    </row>
    <row r="25" spans="3:16" x14ac:dyDescent="0.3">
      <c r="C25" t="s">
        <v>1130</v>
      </c>
      <c r="D25" s="54">
        <v>1434</v>
      </c>
      <c r="E25" s="37" t="s">
        <v>1187</v>
      </c>
    </row>
    <row r="26" spans="3:16" x14ac:dyDescent="0.3">
      <c r="C26" t="s">
        <v>1131</v>
      </c>
      <c r="D26" s="54">
        <v>1434</v>
      </c>
      <c r="E26" s="37" t="s">
        <v>1188</v>
      </c>
    </row>
    <row r="27" spans="3:16" x14ac:dyDescent="0.3">
      <c r="C27" t="s">
        <v>1132</v>
      </c>
      <c r="D27" s="54">
        <v>1923</v>
      </c>
      <c r="E27" s="37" t="s">
        <v>1189</v>
      </c>
    </row>
    <row r="28" spans="3:16" x14ac:dyDescent="0.3">
      <c r="C28" t="s">
        <v>1133</v>
      </c>
      <c r="D28" s="54">
        <v>23391</v>
      </c>
      <c r="E28" s="37" t="s">
        <v>1190</v>
      </c>
    </row>
    <row r="29" spans="3:16" x14ac:dyDescent="0.3">
      <c r="C29" t="s">
        <v>1134</v>
      </c>
      <c r="D29" s="54">
        <v>9697</v>
      </c>
      <c r="E29" s="37" t="s">
        <v>1191</v>
      </c>
    </row>
    <row r="30" spans="3:16" x14ac:dyDescent="0.3">
      <c r="C30" t="s">
        <v>1135</v>
      </c>
      <c r="D30" s="54">
        <v>4610</v>
      </c>
      <c r="E30" s="37" t="s">
        <v>1192</v>
      </c>
    </row>
    <row r="31" spans="3:16" x14ac:dyDescent="0.3">
      <c r="C31" t="s">
        <v>1136</v>
      </c>
      <c r="D31" s="54">
        <v>5057</v>
      </c>
      <c r="E31" s="37" t="s">
        <v>1193</v>
      </c>
    </row>
    <row r="32" spans="3:16" x14ac:dyDescent="0.3">
      <c r="C32" t="s">
        <v>1137</v>
      </c>
      <c r="D32" s="54">
        <v>36461</v>
      </c>
      <c r="E32" s="37" t="s">
        <v>1194</v>
      </c>
    </row>
    <row r="33" spans="3:5" x14ac:dyDescent="0.3">
      <c r="C33" t="s">
        <v>1138</v>
      </c>
      <c r="D33" s="54">
        <v>179</v>
      </c>
      <c r="E33" s="37" t="s">
        <v>1195</v>
      </c>
    </row>
    <row r="34" spans="3:5" x14ac:dyDescent="0.3">
      <c r="C34" t="s">
        <v>1139</v>
      </c>
      <c r="D34" s="54">
        <v>383</v>
      </c>
      <c r="E34" s="37" t="s">
        <v>1196</v>
      </c>
    </row>
    <row r="35" spans="3:5" x14ac:dyDescent="0.3">
      <c r="C35" t="s">
        <v>1140</v>
      </c>
      <c r="D35" s="54">
        <v>75216</v>
      </c>
      <c r="E35" s="37" t="s">
        <v>1197</v>
      </c>
    </row>
    <row r="36" spans="3:5" x14ac:dyDescent="0.3">
      <c r="C36" t="s">
        <v>1141</v>
      </c>
      <c r="D36" s="54">
        <v>1238</v>
      </c>
      <c r="E36" s="37" t="s">
        <v>1198</v>
      </c>
    </row>
    <row r="37" spans="3:5" x14ac:dyDescent="0.3">
      <c r="C37" t="s">
        <v>1142</v>
      </c>
      <c r="D37" s="54">
        <v>1233</v>
      </c>
      <c r="E37" s="37" t="s">
        <v>1199</v>
      </c>
    </row>
    <row r="38" spans="3:5" x14ac:dyDescent="0.3">
      <c r="C38" t="s">
        <v>1143</v>
      </c>
      <c r="D38" s="54">
        <v>8378</v>
      </c>
      <c r="E38" s="37" t="s">
        <v>1200</v>
      </c>
    </row>
    <row r="39" spans="3:5" x14ac:dyDescent="0.3">
      <c r="C39" t="s">
        <v>1144</v>
      </c>
      <c r="D39" s="54">
        <v>8319</v>
      </c>
      <c r="E39" s="37" t="s">
        <v>1201</v>
      </c>
    </row>
    <row r="40" spans="3:5" x14ac:dyDescent="0.3">
      <c r="C40" t="s">
        <v>1145</v>
      </c>
      <c r="D40" s="54">
        <v>319915</v>
      </c>
      <c r="E40" s="37" t="s">
        <v>1202</v>
      </c>
    </row>
    <row r="41" spans="3:5" x14ac:dyDescent="0.3">
      <c r="C41" t="s">
        <v>1146</v>
      </c>
      <c r="D41" s="54">
        <v>3635</v>
      </c>
      <c r="E41" s="37" t="s">
        <v>1203</v>
      </c>
    </row>
    <row r="42" spans="3:5" x14ac:dyDescent="0.3">
      <c r="C42" t="s">
        <v>1147</v>
      </c>
      <c r="D42" s="54">
        <v>3636</v>
      </c>
      <c r="E42" s="37" t="s">
        <v>1204</v>
      </c>
    </row>
    <row r="43" spans="3:5" x14ac:dyDescent="0.3">
      <c r="C43" t="s">
        <v>1148</v>
      </c>
      <c r="D43" s="54">
        <v>298413</v>
      </c>
      <c r="E43" s="37" t="s">
        <v>1205</v>
      </c>
    </row>
    <row r="44" spans="3:5" x14ac:dyDescent="0.3">
      <c r="C44" t="s">
        <v>1152</v>
      </c>
      <c r="D44" s="54">
        <v>257816</v>
      </c>
      <c r="E44" s="37" t="s">
        <v>1206</v>
      </c>
    </row>
    <row r="45" spans="3:5" x14ac:dyDescent="0.3">
      <c r="C45" t="s">
        <v>1161</v>
      </c>
      <c r="D45" s="54">
        <v>4</v>
      </c>
      <c r="E45" s="37" t="s">
        <v>1207</v>
      </c>
    </row>
    <row r="46" spans="3:5" ht="43.2" x14ac:dyDescent="0.3">
      <c r="C46" s="3" t="s">
        <v>1163</v>
      </c>
      <c r="D46" s="5">
        <v>179</v>
      </c>
      <c r="E46" s="55" t="s">
        <v>1208</v>
      </c>
    </row>
    <row r="47" spans="3:5" ht="43.2" x14ac:dyDescent="0.3">
      <c r="C47" s="3" t="s">
        <v>1167</v>
      </c>
      <c r="D47" s="5">
        <v>167</v>
      </c>
      <c r="E47" s="55" t="s">
        <v>1208</v>
      </c>
    </row>
    <row r="48" spans="3:5" ht="43.2" x14ac:dyDescent="0.3">
      <c r="C48" s="3" t="s">
        <v>1168</v>
      </c>
      <c r="D48" s="5">
        <v>167</v>
      </c>
      <c r="E48" s="55" t="s">
        <v>1208</v>
      </c>
    </row>
    <row r="49" spans="3:16" x14ac:dyDescent="0.3">
      <c r="C49" t="s">
        <v>1162</v>
      </c>
      <c r="D49" s="54">
        <v>252835</v>
      </c>
      <c r="E49" s="37" t="s">
        <v>1209</v>
      </c>
    </row>
    <row r="50" spans="3:16" x14ac:dyDescent="0.3">
      <c r="C50" t="s">
        <v>1176</v>
      </c>
      <c r="D50" s="54">
        <v>1</v>
      </c>
      <c r="E50" s="37" t="s">
        <v>1210</v>
      </c>
    </row>
    <row r="52" spans="3:16" x14ac:dyDescent="0.3">
      <c r="C52" s="2" t="s">
        <v>25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4" spans="3:16" x14ac:dyDescent="0.3">
      <c r="C54" s="56" t="s">
        <v>1211</v>
      </c>
    </row>
    <row r="55" spans="3:16" x14ac:dyDescent="0.3">
      <c r="D55" s="57" t="s">
        <v>1212</v>
      </c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7" spans="3:16" x14ac:dyDescent="0.3">
      <c r="C57" s="3" t="s">
        <v>1</v>
      </c>
      <c r="D57" s="3" t="s">
        <v>459</v>
      </c>
      <c r="E57" s="3" t="s">
        <v>3</v>
      </c>
      <c r="F57" s="3" t="s">
        <v>108</v>
      </c>
      <c r="G57" s="3" t="s">
        <v>109</v>
      </c>
      <c r="H57" s="3" t="s">
        <v>110</v>
      </c>
      <c r="I57" s="3" t="s">
        <v>1213</v>
      </c>
      <c r="J57" s="3" t="s">
        <v>1214</v>
      </c>
      <c r="K57" s="3"/>
    </row>
    <row r="58" spans="3:16" x14ac:dyDescent="0.3">
      <c r="C58" s="51">
        <v>45565</v>
      </c>
      <c r="D58" s="3" t="s">
        <v>31</v>
      </c>
      <c r="E58" s="3">
        <v>344637</v>
      </c>
      <c r="F58" s="58">
        <v>344637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6" x14ac:dyDescent="0.3">
      <c r="C59" s="4"/>
    </row>
    <row r="60" spans="3:16" x14ac:dyDescent="0.3">
      <c r="C60" s="56" t="s">
        <v>1215</v>
      </c>
    </row>
    <row r="61" spans="3:16" x14ac:dyDescent="0.3">
      <c r="D61" s="59" t="s">
        <v>1216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</row>
    <row r="63" spans="3:16" x14ac:dyDescent="0.3">
      <c r="C63" s="3" t="s">
        <v>1</v>
      </c>
      <c r="D63" s="3" t="s">
        <v>459</v>
      </c>
      <c r="E63" s="3" t="s">
        <v>3</v>
      </c>
      <c r="F63" s="3" t="s">
        <v>108</v>
      </c>
      <c r="G63" s="3" t="s">
        <v>109</v>
      </c>
      <c r="H63" s="3" t="s">
        <v>110</v>
      </c>
      <c r="I63" s="3" t="s">
        <v>1213</v>
      </c>
      <c r="J63" s="3" t="s">
        <v>1214</v>
      </c>
    </row>
    <row r="64" spans="3:16" x14ac:dyDescent="0.3">
      <c r="C64" s="51">
        <v>45565</v>
      </c>
      <c r="D64" s="3" t="s">
        <v>31</v>
      </c>
      <c r="E64" s="3">
        <v>344637</v>
      </c>
      <c r="F64" s="58">
        <v>344637</v>
      </c>
      <c r="G64" s="3">
        <v>0</v>
      </c>
      <c r="H64" s="3">
        <v>0</v>
      </c>
      <c r="I64" s="3">
        <v>0</v>
      </c>
      <c r="J64" s="3">
        <v>0</v>
      </c>
    </row>
    <row r="65" spans="3:14" x14ac:dyDescent="0.3">
      <c r="C65" s="4"/>
    </row>
    <row r="66" spans="3:14" x14ac:dyDescent="0.3">
      <c r="C66" s="56" t="s">
        <v>1217</v>
      </c>
    </row>
    <row r="67" spans="3:14" x14ac:dyDescent="0.3">
      <c r="D67" s="52" t="s">
        <v>1218</v>
      </c>
      <c r="E67" s="61"/>
      <c r="F67" s="61"/>
      <c r="G67" s="61"/>
      <c r="H67" s="61"/>
      <c r="I67" s="61"/>
      <c r="J67" s="61"/>
      <c r="K67" s="61"/>
      <c r="L67" s="61"/>
      <c r="M67" s="61"/>
      <c r="N67" s="61"/>
    </row>
    <row r="69" spans="3:14" x14ac:dyDescent="0.3">
      <c r="C69" s="3" t="s">
        <v>1</v>
      </c>
      <c r="D69" s="3" t="s">
        <v>459</v>
      </c>
      <c r="E69" s="3" t="s">
        <v>3</v>
      </c>
      <c r="F69" s="3" t="s">
        <v>108</v>
      </c>
      <c r="G69" s="3" t="s">
        <v>109</v>
      </c>
      <c r="H69" s="3" t="s">
        <v>110</v>
      </c>
      <c r="I69" s="3" t="s">
        <v>1213</v>
      </c>
      <c r="J69" s="3" t="s">
        <v>1214</v>
      </c>
    </row>
    <row r="70" spans="3:14" x14ac:dyDescent="0.3">
      <c r="C70" s="51">
        <v>45565</v>
      </c>
      <c r="D70" s="3" t="s">
        <v>31</v>
      </c>
      <c r="E70" s="3">
        <v>344637</v>
      </c>
      <c r="F70" s="58">
        <v>344637</v>
      </c>
      <c r="G70" s="3">
        <v>0</v>
      </c>
      <c r="H70" s="3">
        <v>0</v>
      </c>
      <c r="I70" s="3">
        <v>0</v>
      </c>
      <c r="J70" s="3">
        <v>0</v>
      </c>
    </row>
    <row r="72" spans="3:14" x14ac:dyDescent="0.3">
      <c r="C72" s="56" t="s">
        <v>1219</v>
      </c>
    </row>
    <row r="73" spans="3:14" x14ac:dyDescent="0.3">
      <c r="D73" s="57" t="s">
        <v>1220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</row>
    <row r="75" spans="3:14" x14ac:dyDescent="0.3">
      <c r="C75" s="3" t="s">
        <v>1</v>
      </c>
      <c r="D75" s="3" t="s">
        <v>459</v>
      </c>
      <c r="E75" s="3" t="s">
        <v>3</v>
      </c>
      <c r="F75" s="3" t="s">
        <v>108</v>
      </c>
      <c r="G75" s="3" t="s">
        <v>109</v>
      </c>
      <c r="H75" s="3" t="s">
        <v>110</v>
      </c>
      <c r="I75" s="3" t="s">
        <v>1213</v>
      </c>
      <c r="J75" s="3" t="s">
        <v>1214</v>
      </c>
      <c r="K75" s="3"/>
    </row>
    <row r="76" spans="3:14" x14ac:dyDescent="0.3">
      <c r="C76" s="51">
        <v>45565</v>
      </c>
      <c r="D76" s="3" t="s">
        <v>31</v>
      </c>
      <c r="E76" s="3">
        <v>344637</v>
      </c>
      <c r="F76" s="58">
        <v>344637</v>
      </c>
      <c r="G76" s="3">
        <v>0</v>
      </c>
      <c r="H76" s="3">
        <v>0</v>
      </c>
      <c r="I76" s="3">
        <v>0</v>
      </c>
      <c r="J76" s="3">
        <v>0</v>
      </c>
      <c r="K76" s="3"/>
    </row>
    <row r="77" spans="3:14" x14ac:dyDescent="0.3">
      <c r="C77" s="4"/>
    </row>
    <row r="78" spans="3:14" x14ac:dyDescent="0.3">
      <c r="C78" s="56" t="s">
        <v>1221</v>
      </c>
    </row>
    <row r="79" spans="3:14" x14ac:dyDescent="0.3">
      <c r="D79" s="59" t="s">
        <v>1222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1" spans="3:14" x14ac:dyDescent="0.3">
      <c r="C81" s="3" t="s">
        <v>1</v>
      </c>
      <c r="D81" s="3" t="s">
        <v>459</v>
      </c>
      <c r="E81" s="3" t="s">
        <v>3</v>
      </c>
      <c r="F81" s="3" t="s">
        <v>108</v>
      </c>
      <c r="G81" s="3" t="s">
        <v>109</v>
      </c>
      <c r="H81" s="3" t="s">
        <v>110</v>
      </c>
      <c r="I81" s="3" t="s">
        <v>1213</v>
      </c>
      <c r="J81" s="3" t="s">
        <v>1214</v>
      </c>
    </row>
    <row r="82" spans="3:14" x14ac:dyDescent="0.3">
      <c r="C82" s="51">
        <v>45565</v>
      </c>
      <c r="D82" s="3" t="s">
        <v>31</v>
      </c>
      <c r="E82" s="3">
        <v>344637</v>
      </c>
      <c r="F82" s="58">
        <v>344637</v>
      </c>
      <c r="G82" s="3">
        <v>0</v>
      </c>
      <c r="H82" s="3">
        <v>0</v>
      </c>
      <c r="I82" s="3">
        <v>0</v>
      </c>
      <c r="J82" s="3">
        <v>0</v>
      </c>
    </row>
    <row r="83" spans="3:14" x14ac:dyDescent="0.3">
      <c r="C83" s="4"/>
    </row>
    <row r="84" spans="3:14" x14ac:dyDescent="0.3">
      <c r="C84" s="56" t="s">
        <v>1223</v>
      </c>
    </row>
    <row r="85" spans="3:14" x14ac:dyDescent="0.3">
      <c r="D85" s="52" t="s">
        <v>1224</v>
      </c>
      <c r="E85" s="61"/>
      <c r="F85" s="61"/>
      <c r="G85" s="61"/>
      <c r="H85" s="61"/>
      <c r="I85" s="61"/>
      <c r="J85" s="61"/>
      <c r="K85" s="61"/>
      <c r="L85" s="61"/>
      <c r="M85" s="61"/>
      <c r="N85" s="61"/>
    </row>
    <row r="87" spans="3:14" x14ac:dyDescent="0.3">
      <c r="C87" s="3" t="s">
        <v>1</v>
      </c>
      <c r="D87" s="3" t="s">
        <v>459</v>
      </c>
      <c r="E87" s="3" t="s">
        <v>3</v>
      </c>
      <c r="F87" s="3" t="s">
        <v>108</v>
      </c>
      <c r="G87" s="3" t="s">
        <v>109</v>
      </c>
      <c r="H87" s="3" t="s">
        <v>110</v>
      </c>
      <c r="I87" s="3" t="s">
        <v>1213</v>
      </c>
      <c r="J87" s="3" t="s">
        <v>1214</v>
      </c>
    </row>
    <row r="88" spans="3:14" x14ac:dyDescent="0.3">
      <c r="C88" s="51">
        <v>45565</v>
      </c>
      <c r="D88" s="3" t="s">
        <v>31</v>
      </c>
      <c r="E88" s="3">
        <v>344637</v>
      </c>
      <c r="F88" s="58">
        <v>344637</v>
      </c>
      <c r="G88" s="3">
        <v>0</v>
      </c>
      <c r="H88" s="3">
        <v>0</v>
      </c>
      <c r="I88" s="3">
        <v>0</v>
      </c>
      <c r="J88" s="3">
        <v>0</v>
      </c>
    </row>
    <row r="90" spans="3:14" x14ac:dyDescent="0.3">
      <c r="C90" s="56" t="s">
        <v>1030</v>
      </c>
    </row>
    <row r="91" spans="3:14" x14ac:dyDescent="0.3">
      <c r="D91" s="57" t="s">
        <v>1225</v>
      </c>
      <c r="E91" s="57"/>
      <c r="F91" s="57"/>
      <c r="G91" s="57"/>
      <c r="H91" s="57"/>
      <c r="I91" s="57"/>
      <c r="J91" s="57"/>
      <c r="K91" s="57"/>
      <c r="L91" s="57"/>
      <c r="M91" s="57"/>
      <c r="N91" s="57"/>
    </row>
    <row r="93" spans="3:14" x14ac:dyDescent="0.3">
      <c r="C93" s="3" t="s">
        <v>1</v>
      </c>
      <c r="D93" s="3" t="s">
        <v>459</v>
      </c>
      <c r="E93" s="3" t="s">
        <v>3</v>
      </c>
      <c r="F93" s="3" t="s">
        <v>108</v>
      </c>
      <c r="G93" s="3" t="s">
        <v>109</v>
      </c>
      <c r="H93" s="3" t="s">
        <v>110</v>
      </c>
      <c r="I93" s="3" t="s">
        <v>1213</v>
      </c>
      <c r="J93" s="3" t="s">
        <v>1214</v>
      </c>
      <c r="K93" s="3"/>
    </row>
    <row r="94" spans="3:14" x14ac:dyDescent="0.3">
      <c r="C94" s="51">
        <v>45565</v>
      </c>
      <c r="D94" s="3" t="s">
        <v>31</v>
      </c>
      <c r="E94" s="3">
        <v>344637</v>
      </c>
      <c r="F94" s="58">
        <v>344637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4" x14ac:dyDescent="0.3">
      <c r="C95" s="4"/>
    </row>
    <row r="96" spans="3:14" x14ac:dyDescent="0.3">
      <c r="C96" s="56" t="s">
        <v>1226</v>
      </c>
    </row>
    <row r="97" spans="3:14" x14ac:dyDescent="0.3">
      <c r="D97" s="59" t="s">
        <v>1227</v>
      </c>
      <c r="E97" s="60"/>
      <c r="F97" s="60"/>
      <c r="G97" s="60"/>
      <c r="H97" s="60"/>
      <c r="I97" s="60"/>
      <c r="J97" s="60"/>
      <c r="K97" s="60"/>
      <c r="L97" s="60"/>
      <c r="M97" s="60"/>
      <c r="N97" s="60"/>
    </row>
    <row r="99" spans="3:14" x14ac:dyDescent="0.3">
      <c r="C99" s="3" t="s">
        <v>1</v>
      </c>
      <c r="D99" s="3" t="s">
        <v>459</v>
      </c>
      <c r="E99" s="3" t="s">
        <v>3</v>
      </c>
      <c r="F99" s="3" t="s">
        <v>108</v>
      </c>
      <c r="G99" s="3" t="s">
        <v>109</v>
      </c>
      <c r="H99" s="3" t="s">
        <v>110</v>
      </c>
      <c r="I99" s="3" t="s">
        <v>1213</v>
      </c>
      <c r="J99" s="3" t="s">
        <v>1214</v>
      </c>
    </row>
    <row r="100" spans="3:14" x14ac:dyDescent="0.3">
      <c r="C100" s="51">
        <v>45565</v>
      </c>
      <c r="D100" s="3" t="s">
        <v>31</v>
      </c>
      <c r="E100" s="3">
        <v>344637</v>
      </c>
      <c r="F100" s="58">
        <v>344637</v>
      </c>
      <c r="G100" s="3">
        <v>0</v>
      </c>
      <c r="H100" s="3">
        <v>0</v>
      </c>
      <c r="I100" s="3">
        <v>0</v>
      </c>
      <c r="J100" s="3">
        <v>0</v>
      </c>
    </row>
    <row r="101" spans="3:14" x14ac:dyDescent="0.3">
      <c r="C101" s="4"/>
    </row>
    <row r="102" spans="3:14" x14ac:dyDescent="0.3">
      <c r="C102" s="56" t="s">
        <v>1228</v>
      </c>
    </row>
    <row r="103" spans="3:14" x14ac:dyDescent="0.3">
      <c r="D103" s="52" t="s">
        <v>1229</v>
      </c>
      <c r="E103" s="61"/>
      <c r="F103" s="61"/>
      <c r="G103" s="61"/>
      <c r="H103" s="61"/>
      <c r="I103" s="61"/>
      <c r="J103" s="61"/>
      <c r="K103" s="61"/>
      <c r="L103" s="61"/>
      <c r="M103" s="61"/>
      <c r="N103" s="61"/>
    </row>
    <row r="105" spans="3:14" x14ac:dyDescent="0.3">
      <c r="C105" s="3" t="s">
        <v>1</v>
      </c>
      <c r="D105" s="3" t="s">
        <v>459</v>
      </c>
      <c r="E105" s="3" t="s">
        <v>3</v>
      </c>
      <c r="F105" s="3" t="s">
        <v>108</v>
      </c>
      <c r="G105" s="3" t="s">
        <v>109</v>
      </c>
      <c r="H105" s="3" t="s">
        <v>110</v>
      </c>
      <c r="I105" s="3" t="s">
        <v>1213</v>
      </c>
      <c r="J105" s="3" t="s">
        <v>1214</v>
      </c>
    </row>
    <row r="106" spans="3:14" x14ac:dyDescent="0.3">
      <c r="C106" s="51">
        <v>45565</v>
      </c>
      <c r="D106" s="3" t="s">
        <v>31</v>
      </c>
      <c r="E106" s="3">
        <v>344637</v>
      </c>
      <c r="F106" s="58">
        <v>344637</v>
      </c>
      <c r="G106" s="3">
        <v>0</v>
      </c>
      <c r="H106" s="3">
        <v>0</v>
      </c>
      <c r="I106" s="3">
        <v>0</v>
      </c>
      <c r="J106" s="3">
        <v>0</v>
      </c>
    </row>
    <row r="108" spans="3:14" x14ac:dyDescent="0.3">
      <c r="C108" s="56" t="s">
        <v>1230</v>
      </c>
    </row>
    <row r="109" spans="3:14" x14ac:dyDescent="0.3">
      <c r="D109" s="57" t="s">
        <v>1231</v>
      </c>
      <c r="E109" s="57"/>
      <c r="F109" s="57"/>
      <c r="G109" s="57"/>
      <c r="H109" s="57"/>
      <c r="I109" s="57"/>
      <c r="J109" s="57"/>
      <c r="K109" s="57"/>
      <c r="L109" s="57"/>
      <c r="M109" s="57"/>
      <c r="N109" s="57"/>
    </row>
    <row r="111" spans="3:14" x14ac:dyDescent="0.3">
      <c r="C111" s="3" t="s">
        <v>1</v>
      </c>
      <c r="D111" s="3" t="s">
        <v>459</v>
      </c>
      <c r="E111" s="3" t="s">
        <v>3</v>
      </c>
      <c r="F111" s="3" t="s">
        <v>108</v>
      </c>
      <c r="G111" s="3" t="s">
        <v>109</v>
      </c>
      <c r="H111" s="3" t="s">
        <v>110</v>
      </c>
      <c r="I111" s="3" t="s">
        <v>1213</v>
      </c>
      <c r="J111" s="3" t="s">
        <v>1214</v>
      </c>
      <c r="K111" s="3"/>
    </row>
    <row r="112" spans="3:14" x14ac:dyDescent="0.3">
      <c r="C112" s="51">
        <v>45565</v>
      </c>
      <c r="D112" s="3" t="s">
        <v>31</v>
      </c>
      <c r="E112" s="3">
        <v>344637</v>
      </c>
      <c r="F112" s="58">
        <v>344637</v>
      </c>
      <c r="G112" s="3">
        <v>0</v>
      </c>
      <c r="H112" s="3">
        <v>0</v>
      </c>
      <c r="I112" s="3">
        <v>0</v>
      </c>
      <c r="J112" s="3">
        <v>0</v>
      </c>
      <c r="K112" s="3"/>
    </row>
    <row r="113" spans="3:14" x14ac:dyDescent="0.3">
      <c r="C113" s="4"/>
    </row>
    <row r="114" spans="3:14" x14ac:dyDescent="0.3">
      <c r="C114" s="56" t="s">
        <v>1232</v>
      </c>
    </row>
    <row r="115" spans="3:14" x14ac:dyDescent="0.3">
      <c r="D115" s="59" t="s">
        <v>1233</v>
      </c>
      <c r="E115" s="60"/>
      <c r="F115" s="60"/>
      <c r="G115" s="60"/>
      <c r="H115" s="60"/>
      <c r="I115" s="60"/>
      <c r="J115" s="60"/>
      <c r="K115" s="60"/>
      <c r="L115" s="60"/>
      <c r="M115" s="60"/>
      <c r="N115" s="60"/>
    </row>
    <row r="117" spans="3:14" x14ac:dyDescent="0.3">
      <c r="C117" s="3" t="s">
        <v>1</v>
      </c>
      <c r="D117" s="3" t="s">
        <v>459</v>
      </c>
      <c r="E117" s="3" t="s">
        <v>3</v>
      </c>
      <c r="F117" s="3" t="s">
        <v>108</v>
      </c>
      <c r="G117" s="3" t="s">
        <v>109</v>
      </c>
      <c r="H117" s="3" t="s">
        <v>110</v>
      </c>
      <c r="I117" s="3" t="s">
        <v>1213</v>
      </c>
      <c r="J117" s="3" t="s">
        <v>1214</v>
      </c>
    </row>
    <row r="118" spans="3:14" x14ac:dyDescent="0.3">
      <c r="C118" s="51">
        <v>45565</v>
      </c>
      <c r="D118" s="3" t="s">
        <v>31</v>
      </c>
      <c r="E118" s="3">
        <v>344637</v>
      </c>
      <c r="F118" s="58">
        <v>344637</v>
      </c>
      <c r="G118" s="3">
        <v>0</v>
      </c>
      <c r="H118" s="3">
        <v>0</v>
      </c>
      <c r="I118" s="3">
        <v>0</v>
      </c>
      <c r="J118" s="3">
        <v>0</v>
      </c>
    </row>
    <row r="119" spans="3:14" x14ac:dyDescent="0.3">
      <c r="C119" s="4"/>
    </row>
    <row r="120" spans="3:14" x14ac:dyDescent="0.3">
      <c r="C120" s="56" t="s">
        <v>1234</v>
      </c>
    </row>
    <row r="121" spans="3:14" x14ac:dyDescent="0.3">
      <c r="D121" s="52" t="s">
        <v>1235</v>
      </c>
      <c r="E121" s="61"/>
      <c r="F121" s="61"/>
      <c r="G121" s="61"/>
      <c r="H121" s="61"/>
      <c r="I121" s="61"/>
      <c r="J121" s="61"/>
      <c r="K121" s="61"/>
      <c r="L121" s="61"/>
      <c r="M121" s="61"/>
      <c r="N121" s="61"/>
    </row>
    <row r="123" spans="3:14" x14ac:dyDescent="0.3">
      <c r="C123" s="3" t="s">
        <v>1</v>
      </c>
      <c r="D123" s="3" t="s">
        <v>459</v>
      </c>
      <c r="E123" s="3" t="s">
        <v>3</v>
      </c>
      <c r="F123" s="3" t="s">
        <v>108</v>
      </c>
      <c r="G123" s="3" t="s">
        <v>109</v>
      </c>
      <c r="H123" s="3" t="s">
        <v>110</v>
      </c>
      <c r="I123" s="3" t="s">
        <v>1213</v>
      </c>
      <c r="J123" s="3" t="s">
        <v>1214</v>
      </c>
    </row>
    <row r="124" spans="3:14" x14ac:dyDescent="0.3">
      <c r="C124" s="51">
        <v>45565</v>
      </c>
      <c r="D124" s="3" t="s">
        <v>31</v>
      </c>
      <c r="E124" s="3">
        <v>344637</v>
      </c>
      <c r="F124" s="58">
        <v>344637</v>
      </c>
      <c r="G124" s="3">
        <v>0</v>
      </c>
      <c r="H124" s="3">
        <v>0</v>
      </c>
      <c r="I124" s="3">
        <v>0</v>
      </c>
      <c r="J124" s="3">
        <v>0</v>
      </c>
    </row>
    <row r="126" spans="3:14" x14ac:dyDescent="0.3">
      <c r="C126" s="56" t="s">
        <v>1236</v>
      </c>
    </row>
    <row r="127" spans="3:14" x14ac:dyDescent="0.3">
      <c r="D127" s="57" t="s">
        <v>1237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</row>
    <row r="129" spans="3:14" x14ac:dyDescent="0.3">
      <c r="C129" s="3" t="s">
        <v>1</v>
      </c>
      <c r="D129" s="3" t="s">
        <v>459</v>
      </c>
      <c r="E129" s="3" t="s">
        <v>3</v>
      </c>
      <c r="F129" s="3" t="s">
        <v>108</v>
      </c>
      <c r="G129" s="3" t="s">
        <v>109</v>
      </c>
      <c r="H129" s="3" t="s">
        <v>110</v>
      </c>
      <c r="I129" s="3" t="s">
        <v>1213</v>
      </c>
      <c r="J129" s="3" t="s">
        <v>1214</v>
      </c>
      <c r="K129" s="3"/>
    </row>
    <row r="130" spans="3:14" x14ac:dyDescent="0.3">
      <c r="C130" s="51">
        <v>45565</v>
      </c>
      <c r="D130" s="3" t="s">
        <v>31</v>
      </c>
      <c r="E130" s="3">
        <v>344637</v>
      </c>
      <c r="F130" s="58">
        <v>344637</v>
      </c>
      <c r="G130" s="3">
        <v>0</v>
      </c>
      <c r="H130" s="3">
        <v>0</v>
      </c>
      <c r="I130" s="3">
        <v>0</v>
      </c>
      <c r="J130" s="3">
        <v>0</v>
      </c>
      <c r="K130" s="3"/>
    </row>
    <row r="131" spans="3:14" x14ac:dyDescent="0.3">
      <c r="C131" s="4"/>
    </row>
    <row r="132" spans="3:14" x14ac:dyDescent="0.3">
      <c r="C132" s="56" t="s">
        <v>1238</v>
      </c>
    </row>
    <row r="133" spans="3:14" x14ac:dyDescent="0.3">
      <c r="D133" s="59" t="s">
        <v>1239</v>
      </c>
      <c r="E133" s="60"/>
      <c r="F133" s="60"/>
      <c r="G133" s="60"/>
      <c r="H133" s="60"/>
      <c r="I133" s="60"/>
      <c r="J133" s="60"/>
      <c r="K133" s="60"/>
      <c r="L133" s="60"/>
      <c r="M133" s="60"/>
      <c r="N133" s="60"/>
    </row>
    <row r="135" spans="3:14" x14ac:dyDescent="0.3">
      <c r="C135" s="3" t="s">
        <v>1</v>
      </c>
      <c r="D135" s="3" t="s">
        <v>459</v>
      </c>
      <c r="E135" s="3" t="s">
        <v>3</v>
      </c>
      <c r="F135" s="3" t="s">
        <v>108</v>
      </c>
      <c r="G135" s="3" t="s">
        <v>109</v>
      </c>
      <c r="H135" s="3" t="s">
        <v>110</v>
      </c>
      <c r="I135" s="3" t="s">
        <v>1213</v>
      </c>
      <c r="J135" s="3" t="s">
        <v>1214</v>
      </c>
    </row>
    <row r="136" spans="3:14" x14ac:dyDescent="0.3">
      <c r="C136" s="51">
        <v>45565</v>
      </c>
      <c r="D136" s="3" t="s">
        <v>31</v>
      </c>
      <c r="E136" s="3">
        <v>344637</v>
      </c>
      <c r="F136" s="58">
        <v>344637</v>
      </c>
      <c r="G136" s="3">
        <v>0</v>
      </c>
      <c r="H136" s="3">
        <v>0</v>
      </c>
      <c r="I136" s="3">
        <v>0</v>
      </c>
      <c r="J136" s="3">
        <v>0</v>
      </c>
    </row>
    <row r="137" spans="3:14" x14ac:dyDescent="0.3">
      <c r="C137" s="4"/>
    </row>
    <row r="138" spans="3:14" x14ac:dyDescent="0.3">
      <c r="C138" s="56" t="s">
        <v>1240</v>
      </c>
    </row>
    <row r="139" spans="3:14" x14ac:dyDescent="0.3">
      <c r="D139" s="52" t="s">
        <v>1241</v>
      </c>
      <c r="E139" s="61"/>
      <c r="F139" s="61"/>
      <c r="G139" s="61"/>
      <c r="H139" s="61"/>
      <c r="I139" s="61"/>
      <c r="J139" s="61"/>
      <c r="K139" s="61"/>
      <c r="L139" s="61"/>
      <c r="M139" s="61"/>
      <c r="N139" s="61"/>
    </row>
    <row r="141" spans="3:14" x14ac:dyDescent="0.3">
      <c r="C141" s="3" t="s">
        <v>1</v>
      </c>
      <c r="D141" s="3" t="s">
        <v>459</v>
      </c>
      <c r="E141" s="3" t="s">
        <v>3</v>
      </c>
      <c r="F141" s="3" t="s">
        <v>108</v>
      </c>
      <c r="G141" s="3" t="s">
        <v>109</v>
      </c>
      <c r="H141" s="3" t="s">
        <v>110</v>
      </c>
      <c r="I141" s="3" t="s">
        <v>1213</v>
      </c>
      <c r="J141" s="3" t="s">
        <v>1214</v>
      </c>
    </row>
    <row r="142" spans="3:14" x14ac:dyDescent="0.3">
      <c r="C142" s="51">
        <v>45565</v>
      </c>
      <c r="D142" s="3" t="s">
        <v>31</v>
      </c>
      <c r="E142" s="3">
        <v>344637</v>
      </c>
      <c r="F142" s="58">
        <v>344637</v>
      </c>
      <c r="G142" s="3">
        <v>0</v>
      </c>
      <c r="H142" s="3">
        <v>0</v>
      </c>
      <c r="I142" s="3">
        <v>0</v>
      </c>
      <c r="J142" s="3">
        <v>0</v>
      </c>
    </row>
    <row r="144" spans="3:14" x14ac:dyDescent="0.3">
      <c r="C144" s="56" t="s">
        <v>1242</v>
      </c>
    </row>
    <row r="145" spans="3:14" x14ac:dyDescent="0.3">
      <c r="D145" s="57" t="s">
        <v>1243</v>
      </c>
      <c r="E145" s="57"/>
      <c r="F145" s="57"/>
      <c r="G145" s="57"/>
      <c r="H145" s="57"/>
      <c r="I145" s="57"/>
      <c r="J145" s="57"/>
      <c r="K145" s="57"/>
      <c r="L145" s="57"/>
      <c r="M145" s="57"/>
      <c r="N145" s="57"/>
    </row>
    <row r="147" spans="3:14" x14ac:dyDescent="0.3">
      <c r="C147" s="3" t="s">
        <v>1</v>
      </c>
      <c r="D147" s="3" t="s">
        <v>459</v>
      </c>
      <c r="E147" s="3" t="s">
        <v>3</v>
      </c>
      <c r="F147" s="3" t="s">
        <v>108</v>
      </c>
      <c r="G147" s="3" t="s">
        <v>109</v>
      </c>
      <c r="H147" s="3" t="s">
        <v>110</v>
      </c>
      <c r="I147" s="3" t="s">
        <v>1213</v>
      </c>
      <c r="J147" s="3" t="s">
        <v>1214</v>
      </c>
      <c r="K147" s="3"/>
    </row>
    <row r="148" spans="3:14" x14ac:dyDescent="0.3">
      <c r="C148" s="51">
        <v>45565</v>
      </c>
      <c r="D148" s="3" t="s">
        <v>31</v>
      </c>
      <c r="E148" s="3">
        <v>344637</v>
      </c>
      <c r="F148" s="58">
        <v>344637</v>
      </c>
      <c r="G148" s="3">
        <v>0</v>
      </c>
      <c r="H148" s="3">
        <v>0</v>
      </c>
      <c r="I148" s="3">
        <v>0</v>
      </c>
      <c r="J148" s="3">
        <v>0</v>
      </c>
      <c r="K148" s="3"/>
    </row>
    <row r="149" spans="3:14" x14ac:dyDescent="0.3">
      <c r="C149" s="4"/>
    </row>
    <row r="150" spans="3:14" x14ac:dyDescent="0.3">
      <c r="C150" s="56" t="s">
        <v>1244</v>
      </c>
    </row>
    <row r="151" spans="3:14" x14ac:dyDescent="0.3">
      <c r="D151" s="59" t="s">
        <v>1245</v>
      </c>
      <c r="E151" s="60"/>
      <c r="F151" s="60"/>
      <c r="G151" s="60"/>
      <c r="H151" s="60"/>
      <c r="I151" s="60"/>
      <c r="J151" s="60"/>
      <c r="K151" s="60"/>
      <c r="L151" s="60"/>
      <c r="M151" s="60"/>
      <c r="N151" s="60"/>
    </row>
    <row r="153" spans="3:14" x14ac:dyDescent="0.3">
      <c r="C153" s="3" t="s">
        <v>1</v>
      </c>
      <c r="D153" s="3" t="s">
        <v>459</v>
      </c>
      <c r="E153" s="3" t="s">
        <v>3</v>
      </c>
      <c r="F153" s="3" t="s">
        <v>108</v>
      </c>
      <c r="G153" s="3" t="s">
        <v>109</v>
      </c>
      <c r="H153" s="3" t="s">
        <v>110</v>
      </c>
      <c r="I153" s="3" t="s">
        <v>1213</v>
      </c>
      <c r="J153" s="3" t="s">
        <v>1214</v>
      </c>
    </row>
    <row r="154" spans="3:14" x14ac:dyDescent="0.3">
      <c r="C154" s="51">
        <v>45565</v>
      </c>
      <c r="D154" s="3" t="s">
        <v>31</v>
      </c>
      <c r="E154" s="3">
        <v>344637</v>
      </c>
      <c r="F154" s="58">
        <v>344637</v>
      </c>
      <c r="G154" s="3">
        <v>0</v>
      </c>
      <c r="H154" s="3">
        <v>0</v>
      </c>
      <c r="I154" s="3">
        <v>0</v>
      </c>
      <c r="J154" s="3">
        <v>0</v>
      </c>
    </row>
    <row r="155" spans="3:14" x14ac:dyDescent="0.3">
      <c r="C155" s="4"/>
    </row>
    <row r="156" spans="3:14" x14ac:dyDescent="0.3">
      <c r="C156" s="56" t="s">
        <v>1246</v>
      </c>
    </row>
    <row r="157" spans="3:14" x14ac:dyDescent="0.3">
      <c r="D157" s="52" t="s">
        <v>1247</v>
      </c>
      <c r="E157" s="61"/>
      <c r="F157" s="61"/>
      <c r="G157" s="61"/>
      <c r="H157" s="61"/>
      <c r="I157" s="61"/>
      <c r="J157" s="61"/>
      <c r="K157" s="61"/>
      <c r="L157" s="61"/>
      <c r="M157" s="61"/>
      <c r="N157" s="61"/>
    </row>
    <row r="159" spans="3:14" x14ac:dyDescent="0.3">
      <c r="C159" s="3" t="s">
        <v>1</v>
      </c>
      <c r="D159" s="3" t="s">
        <v>459</v>
      </c>
      <c r="E159" s="3" t="s">
        <v>3</v>
      </c>
      <c r="F159" s="3" t="s">
        <v>108</v>
      </c>
      <c r="G159" s="3" t="s">
        <v>109</v>
      </c>
      <c r="H159" s="3" t="s">
        <v>110</v>
      </c>
      <c r="I159" s="3" t="s">
        <v>1213</v>
      </c>
      <c r="J159" s="3" t="s">
        <v>1214</v>
      </c>
    </row>
    <row r="160" spans="3:14" x14ac:dyDescent="0.3">
      <c r="C160" s="51">
        <v>45565</v>
      </c>
      <c r="D160" s="3" t="s">
        <v>31</v>
      </c>
      <c r="E160" s="3">
        <v>344637</v>
      </c>
      <c r="F160" s="58">
        <v>344637</v>
      </c>
      <c r="G160" s="3">
        <v>0</v>
      </c>
      <c r="H160" s="3">
        <v>0</v>
      </c>
      <c r="I160" s="3">
        <v>0</v>
      </c>
      <c r="J160" s="3">
        <v>0</v>
      </c>
    </row>
    <row r="162" spans="3:14" x14ac:dyDescent="0.3">
      <c r="C162" s="56" t="s">
        <v>1248</v>
      </c>
    </row>
    <row r="163" spans="3:14" x14ac:dyDescent="0.3">
      <c r="D163" s="57" t="s">
        <v>1249</v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</row>
    <row r="165" spans="3:14" x14ac:dyDescent="0.3">
      <c r="C165" s="3" t="s">
        <v>1</v>
      </c>
      <c r="D165" s="3" t="s">
        <v>459</v>
      </c>
      <c r="E165" s="3" t="s">
        <v>3</v>
      </c>
      <c r="F165" s="3" t="s">
        <v>108</v>
      </c>
      <c r="G165" s="3" t="s">
        <v>109</v>
      </c>
      <c r="H165" s="3" t="s">
        <v>110</v>
      </c>
      <c r="I165" s="3" t="s">
        <v>1213</v>
      </c>
      <c r="J165" s="3" t="s">
        <v>1214</v>
      </c>
      <c r="K165" s="3"/>
    </row>
    <row r="166" spans="3:14" x14ac:dyDescent="0.3">
      <c r="C166" s="51">
        <v>45565</v>
      </c>
      <c r="D166" s="3" t="s">
        <v>31</v>
      </c>
      <c r="E166" s="3">
        <v>344637</v>
      </c>
      <c r="F166" s="58">
        <v>344637</v>
      </c>
      <c r="G166" s="3">
        <v>0</v>
      </c>
      <c r="H166" s="3">
        <v>0</v>
      </c>
      <c r="I166" s="3">
        <v>0</v>
      </c>
      <c r="J166" s="3">
        <v>0</v>
      </c>
      <c r="K166" s="3"/>
    </row>
    <row r="167" spans="3:14" x14ac:dyDescent="0.3">
      <c r="C167" s="4"/>
    </row>
    <row r="168" spans="3:14" x14ac:dyDescent="0.3">
      <c r="C168" s="56" t="s">
        <v>1250</v>
      </c>
    </row>
    <row r="169" spans="3:14" x14ac:dyDescent="0.3">
      <c r="D169" s="59" t="s">
        <v>1251</v>
      </c>
      <c r="E169" s="60"/>
      <c r="F169" s="60"/>
      <c r="G169" s="60"/>
      <c r="H169" s="60"/>
      <c r="I169" s="60"/>
      <c r="J169" s="60"/>
      <c r="K169" s="60"/>
      <c r="L169" s="60"/>
      <c r="M169" s="60"/>
      <c r="N169" s="60"/>
    </row>
    <row r="171" spans="3:14" x14ac:dyDescent="0.3">
      <c r="C171" s="3" t="s">
        <v>1</v>
      </c>
      <c r="D171" s="3" t="s">
        <v>459</v>
      </c>
      <c r="E171" s="3" t="s">
        <v>3</v>
      </c>
      <c r="F171" s="3" t="s">
        <v>108</v>
      </c>
      <c r="G171" s="3" t="s">
        <v>109</v>
      </c>
      <c r="H171" s="3" t="s">
        <v>110</v>
      </c>
      <c r="I171" s="3" t="s">
        <v>1213</v>
      </c>
      <c r="J171" s="3" t="s">
        <v>1214</v>
      </c>
    </row>
    <row r="172" spans="3:14" x14ac:dyDescent="0.3">
      <c r="C172" s="51">
        <v>45565</v>
      </c>
      <c r="D172" s="3" t="s">
        <v>31</v>
      </c>
      <c r="E172" s="3">
        <v>344637</v>
      </c>
      <c r="F172" s="58">
        <v>344637</v>
      </c>
      <c r="G172" s="3">
        <v>0</v>
      </c>
      <c r="H172" s="3">
        <v>0</v>
      </c>
      <c r="I172" s="3">
        <v>0</v>
      </c>
      <c r="J172" s="3">
        <v>0</v>
      </c>
    </row>
    <row r="173" spans="3:14" x14ac:dyDescent="0.3">
      <c r="C173" s="4"/>
    </row>
    <row r="174" spans="3:14" x14ac:dyDescent="0.3">
      <c r="C174" s="56" t="s">
        <v>1064</v>
      </c>
    </row>
    <row r="175" spans="3:14" x14ac:dyDescent="0.3">
      <c r="D175" s="52" t="s">
        <v>1252</v>
      </c>
      <c r="E175" s="61"/>
      <c r="F175" s="61"/>
      <c r="G175" s="61"/>
      <c r="H175" s="61"/>
      <c r="I175" s="61"/>
      <c r="J175" s="61"/>
      <c r="K175" s="61"/>
      <c r="L175" s="61"/>
      <c r="M175" s="61"/>
      <c r="N175" s="61"/>
    </row>
    <row r="177" spans="3:14" x14ac:dyDescent="0.3">
      <c r="C177" s="3" t="s">
        <v>1</v>
      </c>
      <c r="D177" s="3" t="s">
        <v>459</v>
      </c>
      <c r="E177" s="3" t="s">
        <v>3</v>
      </c>
      <c r="F177" s="3" t="s">
        <v>108</v>
      </c>
      <c r="G177" s="3" t="s">
        <v>109</v>
      </c>
      <c r="H177" s="3" t="s">
        <v>110</v>
      </c>
      <c r="I177" s="3" t="s">
        <v>1213</v>
      </c>
      <c r="J177" s="3" t="s">
        <v>1214</v>
      </c>
    </row>
    <row r="178" spans="3:14" x14ac:dyDescent="0.3">
      <c r="C178" s="51">
        <v>45565</v>
      </c>
      <c r="D178" s="3" t="s">
        <v>31</v>
      </c>
      <c r="E178" s="3">
        <v>344636</v>
      </c>
      <c r="F178" s="58">
        <v>344637</v>
      </c>
      <c r="G178" s="3">
        <v>0</v>
      </c>
      <c r="H178" s="3">
        <v>0</v>
      </c>
      <c r="I178" s="3">
        <v>0</v>
      </c>
      <c r="J178" s="3">
        <v>0</v>
      </c>
    </row>
    <row r="179" spans="3:14" ht="14.4" customHeight="1" x14ac:dyDescent="0.3"/>
    <row r="180" spans="3:14" x14ac:dyDescent="0.3">
      <c r="C180" s="56" t="s">
        <v>1065</v>
      </c>
    </row>
    <row r="181" spans="3:14" x14ac:dyDescent="0.3">
      <c r="D181" s="52" t="s">
        <v>1253</v>
      </c>
      <c r="E181" s="61"/>
      <c r="F181" s="61"/>
      <c r="G181" s="61"/>
      <c r="H181" s="61"/>
      <c r="I181" s="61"/>
      <c r="J181" s="61"/>
      <c r="K181" s="61"/>
      <c r="L181" s="61"/>
      <c r="M181" s="61"/>
      <c r="N181" s="61"/>
    </row>
    <row r="183" spans="3:14" x14ac:dyDescent="0.3">
      <c r="C183" s="3" t="s">
        <v>1</v>
      </c>
      <c r="D183" s="3" t="s">
        <v>459</v>
      </c>
      <c r="E183" s="3" t="s">
        <v>3</v>
      </c>
      <c r="F183" s="3" t="s">
        <v>108</v>
      </c>
      <c r="G183" s="3" t="s">
        <v>109</v>
      </c>
      <c r="H183" s="3" t="s">
        <v>110</v>
      </c>
      <c r="I183" s="3" t="s">
        <v>1213</v>
      </c>
      <c r="J183" s="3" t="s">
        <v>1214</v>
      </c>
    </row>
    <row r="184" spans="3:14" x14ac:dyDescent="0.3">
      <c r="C184" s="51">
        <v>45565</v>
      </c>
      <c r="D184" s="3" t="s">
        <v>31</v>
      </c>
      <c r="E184" s="3">
        <v>344637</v>
      </c>
      <c r="F184" s="58">
        <v>344637</v>
      </c>
      <c r="G184" s="3">
        <v>0</v>
      </c>
      <c r="H184" s="3">
        <v>0</v>
      </c>
      <c r="I184" s="3">
        <v>0</v>
      </c>
      <c r="J184" s="3">
        <v>0</v>
      </c>
    </row>
    <row r="186" spans="3:14" x14ac:dyDescent="0.3">
      <c r="D186" s="4"/>
      <c r="G186" s="62"/>
    </row>
    <row r="187" spans="3:14" x14ac:dyDescent="0.3">
      <c r="C187" s="56" t="s">
        <v>1254</v>
      </c>
    </row>
    <row r="188" spans="3:14" x14ac:dyDescent="0.3">
      <c r="D188" s="52" t="s">
        <v>1255</v>
      </c>
      <c r="E188" s="61"/>
      <c r="F188" s="61"/>
      <c r="G188" s="61"/>
      <c r="H188" s="61"/>
      <c r="I188" s="61"/>
      <c r="J188" s="61"/>
      <c r="K188" s="61"/>
      <c r="L188" s="61"/>
      <c r="M188" s="61"/>
      <c r="N188" s="61"/>
    </row>
    <row r="190" spans="3:14" x14ac:dyDescent="0.3">
      <c r="C190" s="3" t="s">
        <v>1</v>
      </c>
      <c r="D190" s="3" t="s">
        <v>459</v>
      </c>
      <c r="E190" s="3" t="s">
        <v>3</v>
      </c>
      <c r="F190" s="3" t="s">
        <v>108</v>
      </c>
      <c r="G190" s="3" t="s">
        <v>109</v>
      </c>
      <c r="H190" s="3" t="s">
        <v>110</v>
      </c>
      <c r="I190" s="3" t="s">
        <v>1213</v>
      </c>
      <c r="J190" s="3" t="s">
        <v>1214</v>
      </c>
    </row>
    <row r="191" spans="3:14" x14ac:dyDescent="0.3">
      <c r="C191" s="51">
        <v>45565</v>
      </c>
      <c r="D191" s="3" t="s">
        <v>31</v>
      </c>
      <c r="E191" s="3">
        <v>344637</v>
      </c>
      <c r="F191" s="58">
        <v>344637</v>
      </c>
      <c r="G191" s="3">
        <v>0</v>
      </c>
      <c r="H191" s="3">
        <v>0</v>
      </c>
      <c r="I191" s="3">
        <v>0</v>
      </c>
      <c r="J191" s="3">
        <v>0</v>
      </c>
    </row>
    <row r="193" spans="3:14" x14ac:dyDescent="0.3">
      <c r="C193" s="56" t="s">
        <v>1256</v>
      </c>
    </row>
    <row r="194" spans="3:14" x14ac:dyDescent="0.3">
      <c r="D194" s="52" t="s">
        <v>1257</v>
      </c>
      <c r="E194" s="61"/>
      <c r="F194" s="61"/>
      <c r="G194" s="61"/>
      <c r="H194" s="61"/>
      <c r="I194" s="61"/>
      <c r="J194" s="61"/>
      <c r="K194" s="61"/>
      <c r="L194" s="61"/>
      <c r="M194" s="61"/>
      <c r="N194" s="61"/>
    </row>
    <row r="196" spans="3:14" x14ac:dyDescent="0.3">
      <c r="C196" s="3" t="s">
        <v>1</v>
      </c>
      <c r="D196" s="3" t="s">
        <v>459</v>
      </c>
      <c r="E196" s="3" t="s">
        <v>3</v>
      </c>
      <c r="F196" s="3" t="s">
        <v>108</v>
      </c>
      <c r="G196" s="3" t="s">
        <v>109</v>
      </c>
      <c r="H196" s="3" t="s">
        <v>110</v>
      </c>
      <c r="I196" s="3" t="s">
        <v>1213</v>
      </c>
      <c r="J196" s="3" t="s">
        <v>1214</v>
      </c>
    </row>
    <row r="197" spans="3:14" x14ac:dyDescent="0.3">
      <c r="C197" s="51">
        <v>45565</v>
      </c>
      <c r="D197" s="3" t="s">
        <v>31</v>
      </c>
      <c r="E197" s="3">
        <v>344637</v>
      </c>
      <c r="F197" s="58">
        <v>344508</v>
      </c>
      <c r="G197" s="3">
        <v>0</v>
      </c>
      <c r="H197" s="58">
        <v>129</v>
      </c>
      <c r="I197" s="3">
        <v>0</v>
      </c>
      <c r="J197" s="3">
        <v>0</v>
      </c>
    </row>
    <row r="198" spans="3:14" ht="14.4" customHeight="1" x14ac:dyDescent="0.3"/>
    <row r="199" spans="3:14" x14ac:dyDescent="0.3">
      <c r="C199" s="56" t="s">
        <v>1062</v>
      </c>
    </row>
    <row r="200" spans="3:14" x14ac:dyDescent="0.3">
      <c r="D200" s="52" t="s">
        <v>1258</v>
      </c>
      <c r="E200" s="61"/>
      <c r="F200" s="61"/>
      <c r="G200" s="61"/>
      <c r="H200" s="61"/>
      <c r="I200" s="61"/>
      <c r="J200" s="61"/>
      <c r="K200" s="61"/>
      <c r="L200" s="61"/>
      <c r="M200" s="61"/>
      <c r="N200" s="61"/>
    </row>
    <row r="202" spans="3:14" x14ac:dyDescent="0.3">
      <c r="C202" s="3" t="s">
        <v>1</v>
      </c>
      <c r="D202" s="3" t="s">
        <v>459</v>
      </c>
      <c r="E202" s="3" t="s">
        <v>3</v>
      </c>
      <c r="F202" s="3" t="s">
        <v>108</v>
      </c>
      <c r="G202" s="3" t="s">
        <v>109</v>
      </c>
      <c r="H202" s="3" t="s">
        <v>110</v>
      </c>
      <c r="I202" s="3" t="s">
        <v>1213</v>
      </c>
      <c r="J202" s="3" t="s">
        <v>1214</v>
      </c>
    </row>
    <row r="203" spans="3:14" x14ac:dyDescent="0.3">
      <c r="C203" s="51">
        <v>45565</v>
      </c>
      <c r="D203" s="3" t="s">
        <v>31</v>
      </c>
      <c r="E203" s="3">
        <v>344637</v>
      </c>
      <c r="F203" s="58">
        <v>344506</v>
      </c>
      <c r="G203" s="3">
        <v>0</v>
      </c>
      <c r="H203" s="58">
        <v>131</v>
      </c>
      <c r="I203" s="3">
        <v>0</v>
      </c>
      <c r="J203" s="3">
        <v>0</v>
      </c>
    </row>
    <row r="205" spans="3:14" x14ac:dyDescent="0.3">
      <c r="D205" s="4"/>
      <c r="G205" s="62"/>
    </row>
    <row r="206" spans="3:14" x14ac:dyDescent="0.3">
      <c r="C206" s="56" t="s">
        <v>1063</v>
      </c>
    </row>
    <row r="207" spans="3:14" x14ac:dyDescent="0.3">
      <c r="D207" s="52" t="s">
        <v>1259</v>
      </c>
      <c r="E207" s="61"/>
      <c r="F207" s="61"/>
      <c r="G207" s="61"/>
      <c r="H207" s="61"/>
      <c r="I207" s="61"/>
      <c r="J207" s="61"/>
      <c r="K207" s="61"/>
      <c r="L207" s="61"/>
      <c r="M207" s="61"/>
      <c r="N207" s="61"/>
    </row>
    <row r="209" spans="3:14" x14ac:dyDescent="0.3">
      <c r="C209" s="3" t="s">
        <v>1</v>
      </c>
      <c r="D209" s="3" t="s">
        <v>459</v>
      </c>
      <c r="E209" s="3" t="s">
        <v>3</v>
      </c>
      <c r="F209" s="3" t="s">
        <v>108</v>
      </c>
      <c r="G209" s="3" t="s">
        <v>109</v>
      </c>
      <c r="H209" s="3" t="s">
        <v>110</v>
      </c>
      <c r="I209" s="3" t="s">
        <v>1213</v>
      </c>
      <c r="J209" s="3" t="s">
        <v>1214</v>
      </c>
    </row>
    <row r="210" spans="3:14" x14ac:dyDescent="0.3">
      <c r="C210" s="51">
        <v>45565</v>
      </c>
      <c r="D210" s="3" t="s">
        <v>31</v>
      </c>
      <c r="E210" s="3">
        <v>344637</v>
      </c>
      <c r="F210" s="58">
        <v>343266</v>
      </c>
      <c r="G210" s="3">
        <v>0</v>
      </c>
      <c r="H210" s="58">
        <v>1371</v>
      </c>
      <c r="I210" s="3">
        <v>0</v>
      </c>
      <c r="J210" s="3">
        <v>0</v>
      </c>
    </row>
    <row r="212" spans="3:14" x14ac:dyDescent="0.3">
      <c r="C212" s="56" t="s">
        <v>1260</v>
      </c>
    </row>
    <row r="213" spans="3:14" x14ac:dyDescent="0.3">
      <c r="D213" s="52" t="s">
        <v>1261</v>
      </c>
      <c r="E213" s="61"/>
      <c r="F213" s="61"/>
      <c r="G213" s="61"/>
      <c r="H213" s="61"/>
      <c r="I213" s="61"/>
      <c r="J213" s="61"/>
      <c r="K213" s="61"/>
      <c r="L213" s="61"/>
      <c r="M213" s="61"/>
      <c r="N213" s="61"/>
    </row>
    <row r="215" spans="3:14" x14ac:dyDescent="0.3">
      <c r="C215" s="3" t="s">
        <v>1</v>
      </c>
      <c r="D215" s="3" t="s">
        <v>459</v>
      </c>
      <c r="E215" s="3" t="s">
        <v>3</v>
      </c>
      <c r="F215" s="3" t="s">
        <v>108</v>
      </c>
      <c r="G215" s="3" t="s">
        <v>109</v>
      </c>
      <c r="H215" s="3" t="s">
        <v>110</v>
      </c>
      <c r="I215" s="3" t="s">
        <v>1213</v>
      </c>
      <c r="J215" s="3" t="s">
        <v>1214</v>
      </c>
    </row>
    <row r="216" spans="3:14" x14ac:dyDescent="0.3">
      <c r="C216" s="51">
        <v>45565</v>
      </c>
      <c r="D216" s="3" t="s">
        <v>31</v>
      </c>
      <c r="E216" s="3">
        <v>344637</v>
      </c>
      <c r="F216" s="58">
        <v>344637</v>
      </c>
      <c r="G216" s="3">
        <v>0</v>
      </c>
      <c r="H216" s="3">
        <v>0</v>
      </c>
      <c r="I216" s="3">
        <v>0</v>
      </c>
      <c r="J216" s="3">
        <v>0</v>
      </c>
    </row>
    <row r="219" spans="3:14" ht="14.4" customHeight="1" x14ac:dyDescent="0.3"/>
    <row r="220" spans="3:14" ht="14.4" customHeight="1" x14ac:dyDescent="0.3"/>
    <row r="225" customFormat="1" ht="14.4" customHeight="1" x14ac:dyDescent="0.3"/>
    <row r="231" customFormat="1" ht="14.4" customHeight="1" x14ac:dyDescent="0.3"/>
    <row r="237" customFormat="1" ht="14.4" customHeight="1" x14ac:dyDescent="0.3"/>
    <row r="243" customFormat="1" ht="14.4" customHeight="1" x14ac:dyDescent="0.3"/>
    <row r="249" customFormat="1" ht="14.4" customHeight="1" x14ac:dyDescent="0.3"/>
    <row r="255" customFormat="1" ht="14.4" customHeight="1" x14ac:dyDescent="0.3"/>
    <row r="261" customFormat="1" ht="14.4" customHeight="1" x14ac:dyDescent="0.3"/>
    <row r="267" customFormat="1" ht="14.4" customHeight="1" x14ac:dyDescent="0.3"/>
    <row r="273" customFormat="1" ht="14.4" customHeight="1" x14ac:dyDescent="0.3"/>
    <row r="279" customFormat="1" ht="14.4" customHeight="1" x14ac:dyDescent="0.3"/>
    <row r="285" customFormat="1" ht="14.4" customHeight="1" x14ac:dyDescent="0.3"/>
    <row r="291" customFormat="1" ht="14.4" customHeight="1" x14ac:dyDescent="0.3"/>
    <row r="297" customFormat="1" ht="14.4" customHeight="1" x14ac:dyDescent="0.3"/>
    <row r="303" customFormat="1" ht="14.4" customHeight="1" x14ac:dyDescent="0.3"/>
    <row r="309" customFormat="1" ht="14.4" customHeight="1" x14ac:dyDescent="0.3"/>
    <row r="315" customFormat="1" ht="14.4" customHeight="1" x14ac:dyDescent="0.3"/>
    <row r="321" customFormat="1" ht="14.4" customHeight="1" x14ac:dyDescent="0.3"/>
    <row r="327" customFormat="1" ht="14.4" customHeight="1" x14ac:dyDescent="0.3"/>
    <row r="333" customFormat="1" ht="14.4" customHeight="1" x14ac:dyDescent="0.3"/>
    <row r="339" customFormat="1" ht="14.4" customHeight="1" x14ac:dyDescent="0.3"/>
    <row r="344" customFormat="1" ht="14.4" customHeight="1" x14ac:dyDescent="0.3"/>
    <row r="346" customFormat="1" ht="14.4" customHeight="1" x14ac:dyDescent="0.3"/>
    <row r="351" customFormat="1" ht="14.4" customHeight="1" x14ac:dyDescent="0.3"/>
    <row r="353" customFormat="1" ht="14.4" customHeight="1" x14ac:dyDescent="0.3"/>
    <row r="364" customFormat="1" ht="14.4" customHeight="1" x14ac:dyDescent="0.3"/>
    <row r="391" customFormat="1" ht="14.4" customHeight="1" x14ac:dyDescent="0.3"/>
    <row r="392" customFormat="1" ht="14.4" customHeight="1" x14ac:dyDescent="0.3"/>
    <row r="397" customFormat="1" ht="14.4" customHeight="1" x14ac:dyDescent="0.3"/>
    <row r="403" customFormat="1" ht="14.4" customHeight="1" x14ac:dyDescent="0.3"/>
    <row r="409" customFormat="1" ht="14.4" customHeight="1" x14ac:dyDescent="0.3"/>
    <row r="415" customFormat="1" ht="14.4" customHeight="1" x14ac:dyDescent="0.3"/>
    <row r="421" customFormat="1" ht="14.4" customHeight="1" x14ac:dyDescent="0.3"/>
    <row r="427" customFormat="1" ht="14.4" customHeight="1" x14ac:dyDescent="0.3"/>
    <row r="433" customFormat="1" ht="14.4" customHeight="1" x14ac:dyDescent="0.3"/>
    <row r="439" customFormat="1" ht="14.4" customHeight="1" x14ac:dyDescent="0.3"/>
    <row r="445" customFormat="1" ht="14.4" customHeight="1" x14ac:dyDescent="0.3"/>
    <row r="451" customFormat="1" ht="14.4" customHeight="1" x14ac:dyDescent="0.3"/>
    <row r="457" customFormat="1" ht="14.4" customHeight="1" x14ac:dyDescent="0.3"/>
    <row r="463" customFormat="1" ht="14.4" customHeight="1" x14ac:dyDescent="0.3"/>
    <row r="469" customFormat="1" ht="14.4" customHeight="1" x14ac:dyDescent="0.3"/>
    <row r="475" customFormat="1" ht="14.4" customHeight="1" x14ac:dyDescent="0.3"/>
    <row r="481" customFormat="1" ht="14.4" customHeight="1" x14ac:dyDescent="0.3"/>
    <row r="487" customFormat="1" ht="14.4" customHeight="1" x14ac:dyDescent="0.3"/>
    <row r="493" customFormat="1" ht="14.4" customHeight="1" x14ac:dyDescent="0.3"/>
    <row r="499" customFormat="1" ht="14.4" customHeight="1" x14ac:dyDescent="0.3"/>
    <row r="505" customFormat="1" ht="14.4" customHeight="1" x14ac:dyDescent="0.3"/>
    <row r="511" customFormat="1" ht="14.4" customHeight="1" x14ac:dyDescent="0.3"/>
    <row r="516" customFormat="1" ht="14.4" customHeight="1" x14ac:dyDescent="0.3"/>
    <row r="518" customFormat="1" ht="14.4" customHeight="1" x14ac:dyDescent="0.3"/>
    <row r="523" customFormat="1" ht="14.4" customHeight="1" x14ac:dyDescent="0.3"/>
    <row r="525" customFormat="1" ht="14.4" customHeight="1" x14ac:dyDescent="0.3"/>
    <row r="536" customFormat="1" ht="14.4" customHeight="1" x14ac:dyDescent="0.3"/>
    <row r="575" customFormat="1" ht="14.4" customHeight="1" x14ac:dyDescent="0.3"/>
    <row r="576" customFormat="1" ht="14.4" customHeight="1" x14ac:dyDescent="0.3"/>
    <row r="581" customFormat="1" ht="14.4" customHeight="1" x14ac:dyDescent="0.3"/>
    <row r="587" customFormat="1" ht="14.4" customHeight="1" x14ac:dyDescent="0.3"/>
    <row r="593" customFormat="1" ht="14.4" customHeight="1" x14ac:dyDescent="0.3"/>
    <row r="599" customFormat="1" ht="14.4" customHeight="1" x14ac:dyDescent="0.3"/>
    <row r="605" customFormat="1" ht="14.4" customHeight="1" x14ac:dyDescent="0.3"/>
    <row r="611" customFormat="1" ht="14.4" customHeight="1" x14ac:dyDescent="0.3"/>
    <row r="617" customFormat="1" ht="14.4" customHeight="1" x14ac:dyDescent="0.3"/>
    <row r="623" customFormat="1" ht="14.4" customHeight="1" x14ac:dyDescent="0.3"/>
    <row r="629" customFormat="1" ht="14.4" customHeight="1" x14ac:dyDescent="0.3"/>
    <row r="635" customFormat="1" ht="14.4" customHeight="1" x14ac:dyDescent="0.3"/>
    <row r="641" customFormat="1" ht="14.4" customHeight="1" x14ac:dyDescent="0.3"/>
    <row r="647" customFormat="1" ht="14.4" customHeight="1" x14ac:dyDescent="0.3"/>
    <row r="653" customFormat="1" ht="14.4" customHeight="1" x14ac:dyDescent="0.3"/>
    <row r="659" customFormat="1" ht="14.4" customHeight="1" x14ac:dyDescent="0.3"/>
    <row r="665" customFormat="1" ht="14.4" customHeight="1" x14ac:dyDescent="0.3"/>
    <row r="671" customFormat="1" ht="14.4" customHeight="1" x14ac:dyDescent="0.3"/>
    <row r="677" customFormat="1" ht="14.4" customHeight="1" x14ac:dyDescent="0.3"/>
    <row r="683" customFormat="1" ht="14.4" customHeight="1" x14ac:dyDescent="0.3"/>
    <row r="689" customFormat="1" ht="14.4" customHeight="1" x14ac:dyDescent="0.3"/>
    <row r="695" customFormat="1" ht="14.4" customHeight="1" x14ac:dyDescent="0.3"/>
    <row r="700" customFormat="1" ht="14.4" customHeight="1" x14ac:dyDescent="0.3"/>
    <row r="702" customFormat="1" ht="14.4" customHeight="1" x14ac:dyDescent="0.3"/>
    <row r="707" customFormat="1" ht="14.4" customHeight="1" x14ac:dyDescent="0.3"/>
    <row r="709" customFormat="1" ht="14.4" customHeight="1" x14ac:dyDescent="0.3"/>
    <row r="720" customFormat="1" ht="14.4" customHeight="1" x14ac:dyDescent="0.3"/>
  </sheetData>
  <mergeCells count="31">
    <mergeCell ref="D207:N207"/>
    <mergeCell ref="D213:N213"/>
    <mergeCell ref="D175:N175"/>
    <mergeCell ref="D181:N181"/>
    <mergeCell ref="D188:N188"/>
    <mergeCell ref="D194:N194"/>
    <mergeCell ref="D200:N200"/>
    <mergeCell ref="D145:N145"/>
    <mergeCell ref="D151:N151"/>
    <mergeCell ref="D157:N157"/>
    <mergeCell ref="D163:N163"/>
    <mergeCell ref="D169:N169"/>
    <mergeCell ref="D115:N115"/>
    <mergeCell ref="D121:N121"/>
    <mergeCell ref="D127:N127"/>
    <mergeCell ref="D133:N133"/>
    <mergeCell ref="D139:N139"/>
    <mergeCell ref="D85:N85"/>
    <mergeCell ref="D91:N91"/>
    <mergeCell ref="D97:N97"/>
    <mergeCell ref="D103:N103"/>
    <mergeCell ref="D109:N109"/>
    <mergeCell ref="D55:N55"/>
    <mergeCell ref="D61:N61"/>
    <mergeCell ref="D67:N67"/>
    <mergeCell ref="D73:N73"/>
    <mergeCell ref="D79:N79"/>
    <mergeCell ref="D13:N13"/>
    <mergeCell ref="D15:P15"/>
    <mergeCell ref="D17:P17"/>
    <mergeCell ref="D19:P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AB4C-53BC-4522-B477-5012AC1A24B3}">
  <dimension ref="A1:AV354"/>
  <sheetViews>
    <sheetView topLeftCell="A52" workbookViewId="0">
      <selection activeCell="D173" sqref="D173:N173"/>
    </sheetView>
  </sheetViews>
  <sheetFormatPr defaultColWidth="8.6640625" defaultRowHeight="14.4" x14ac:dyDescent="0.3"/>
  <cols>
    <col min="1" max="2" width="8.6640625" style="18"/>
    <col min="3" max="3" width="26.5546875" style="18" bestFit="1" customWidth="1"/>
    <col min="4" max="4" width="21.5546875" style="18" customWidth="1"/>
    <col min="5" max="5" width="36.33203125" style="18" bestFit="1" customWidth="1"/>
    <col min="6" max="6" width="35" style="18" bestFit="1" customWidth="1"/>
    <col min="7" max="7" width="18.44140625" style="18" bestFit="1" customWidth="1"/>
    <col min="8" max="9" width="9.88671875" style="18" bestFit="1" customWidth="1"/>
    <col min="10" max="10" width="22.88671875" style="18" customWidth="1"/>
    <col min="11" max="11" width="20.109375" style="18" bestFit="1" customWidth="1"/>
    <col min="12" max="12" width="28.44140625" style="18" bestFit="1" customWidth="1"/>
    <col min="13" max="13" width="15.109375" style="18" bestFit="1" customWidth="1"/>
    <col min="14" max="14" width="15.5546875" style="18" bestFit="1" customWidth="1"/>
    <col min="15" max="15" width="15.109375" style="18" bestFit="1" customWidth="1"/>
    <col min="16" max="16" width="11.109375" style="18" bestFit="1" customWidth="1"/>
    <col min="17" max="17" width="7.44140625" style="18" bestFit="1" customWidth="1"/>
    <col min="18" max="18" width="9.5546875" style="18" bestFit="1" customWidth="1"/>
    <col min="19" max="16384" width="8.6640625" style="18"/>
  </cols>
  <sheetData>
    <row r="1" spans="1:48" customFormat="1" x14ac:dyDescent="0.3"/>
    <row r="2" spans="1:48" customFormat="1" x14ac:dyDescent="0.3">
      <c r="B2" s="1" t="s">
        <v>1262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48" customFormat="1" x14ac:dyDescent="0.3">
      <c r="B3" s="50"/>
    </row>
    <row r="4" spans="1:48" customFormat="1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48" customFormat="1" x14ac:dyDescent="0.3">
      <c r="C5" s="3" t="s">
        <v>1</v>
      </c>
      <c r="D5" s="3" t="s">
        <v>459</v>
      </c>
      <c r="E5" s="3" t="s">
        <v>1120</v>
      </c>
      <c r="F5" s="3" t="s">
        <v>1121</v>
      </c>
      <c r="G5" s="3" t="s">
        <v>1123</v>
      </c>
      <c r="H5" s="3" t="s">
        <v>1124</v>
      </c>
      <c r="I5" s="3" t="s">
        <v>1122</v>
      </c>
      <c r="J5" s="3" t="s">
        <v>1263</v>
      </c>
      <c r="K5" s="3" t="s">
        <v>1264</v>
      </c>
      <c r="L5" s="3" t="s">
        <v>1265</v>
      </c>
      <c r="M5" s="3" t="s">
        <v>1266</v>
      </c>
      <c r="N5" s="3" t="s">
        <v>1267</v>
      </c>
      <c r="O5" s="3" t="s">
        <v>1268</v>
      </c>
      <c r="P5" s="3" t="s">
        <v>1269</v>
      </c>
      <c r="Q5" s="3" t="s">
        <v>1270</v>
      </c>
      <c r="R5" s="3" t="s">
        <v>1271</v>
      </c>
      <c r="S5" s="3" t="s">
        <v>1272</v>
      </c>
      <c r="T5" s="3" t="s">
        <v>1273</v>
      </c>
      <c r="U5" s="3" t="s">
        <v>1274</v>
      </c>
      <c r="V5" s="3" t="s">
        <v>1275</v>
      </c>
      <c r="W5" s="3" t="s">
        <v>1276</v>
      </c>
      <c r="X5" s="3" t="s">
        <v>1277</v>
      </c>
      <c r="Y5" s="3" t="s">
        <v>1278</v>
      </c>
      <c r="Z5" s="3" t="s">
        <v>1279</v>
      </c>
      <c r="AA5" s="3" t="s">
        <v>1280</v>
      </c>
      <c r="AB5" s="3" t="s">
        <v>1281</v>
      </c>
      <c r="AC5" s="3" t="s">
        <v>1282</v>
      </c>
      <c r="AD5" s="3" t="s">
        <v>1283</v>
      </c>
      <c r="AE5" s="3" t="s">
        <v>1284</v>
      </c>
      <c r="AF5" s="3" t="s">
        <v>1285</v>
      </c>
      <c r="AG5" s="3" t="s">
        <v>1286</v>
      </c>
      <c r="AH5" s="3" t="s">
        <v>1287</v>
      </c>
      <c r="AI5" s="3" t="s">
        <v>1288</v>
      </c>
      <c r="AJ5" s="3" t="s">
        <v>1289</v>
      </c>
      <c r="AK5" s="3" t="s">
        <v>1290</v>
      </c>
      <c r="AL5" s="3" t="s">
        <v>1291</v>
      </c>
      <c r="AM5" s="3" t="s">
        <v>1292</v>
      </c>
      <c r="AN5" s="3" t="s">
        <v>1293</v>
      </c>
      <c r="AO5" s="3" t="s">
        <v>1294</v>
      </c>
      <c r="AP5" s="3" t="s">
        <v>1295</v>
      </c>
      <c r="AQ5" s="3" t="s">
        <v>1296</v>
      </c>
      <c r="AR5" s="3" t="s">
        <v>1126</v>
      </c>
      <c r="AS5" s="3" t="s">
        <v>1127</v>
      </c>
      <c r="AT5" s="3" t="s">
        <v>1179</v>
      </c>
      <c r="AU5" s="3" t="s">
        <v>1180</v>
      </c>
      <c r="AV5" s="3"/>
    </row>
    <row r="6" spans="1:48" customFormat="1" x14ac:dyDescent="0.3">
      <c r="C6" s="51">
        <v>45565</v>
      </c>
      <c r="D6" s="3" t="s">
        <v>37</v>
      </c>
      <c r="E6" s="3">
        <v>344637</v>
      </c>
      <c r="F6" s="3">
        <v>344637</v>
      </c>
      <c r="G6" s="3">
        <v>0</v>
      </c>
      <c r="H6" s="3">
        <v>0</v>
      </c>
      <c r="I6" s="3">
        <v>0</v>
      </c>
      <c r="J6" s="5">
        <v>541</v>
      </c>
      <c r="K6" s="5">
        <v>1676</v>
      </c>
      <c r="L6" s="5">
        <v>9623</v>
      </c>
      <c r="M6" s="5">
        <v>2053</v>
      </c>
      <c r="N6" s="5">
        <v>4543</v>
      </c>
      <c r="O6" s="5">
        <v>36548</v>
      </c>
      <c r="P6" s="5">
        <v>1086</v>
      </c>
      <c r="Q6" s="5">
        <v>17856</v>
      </c>
      <c r="R6" s="5">
        <v>541</v>
      </c>
      <c r="S6" s="5">
        <v>5096</v>
      </c>
      <c r="T6" s="5">
        <v>170079</v>
      </c>
      <c r="U6" s="5">
        <v>3894</v>
      </c>
      <c r="V6" s="5">
        <v>243579</v>
      </c>
      <c r="W6" s="5">
        <v>541</v>
      </c>
      <c r="X6" s="5">
        <v>682</v>
      </c>
      <c r="Y6" s="5">
        <v>8244</v>
      </c>
      <c r="Z6" s="5">
        <v>586</v>
      </c>
      <c r="AA6" s="5">
        <v>297382</v>
      </c>
      <c r="AB6" s="5">
        <v>388</v>
      </c>
      <c r="AC6" s="5">
        <v>340200</v>
      </c>
      <c r="AD6" s="5">
        <v>225931</v>
      </c>
      <c r="AE6" s="5">
        <v>340200</v>
      </c>
      <c r="AF6" s="5">
        <v>181</v>
      </c>
      <c r="AG6" s="5">
        <v>181</v>
      </c>
      <c r="AH6" s="5">
        <v>3</v>
      </c>
      <c r="AI6" s="5">
        <v>181</v>
      </c>
      <c r="AJ6" s="5">
        <v>181</v>
      </c>
      <c r="AK6" s="3">
        <v>0</v>
      </c>
      <c r="AL6" s="5">
        <v>181</v>
      </c>
      <c r="AM6" s="5">
        <v>181</v>
      </c>
      <c r="AN6" s="5">
        <v>181</v>
      </c>
      <c r="AO6" s="5">
        <v>181</v>
      </c>
      <c r="AP6" s="3">
        <v>0</v>
      </c>
      <c r="AQ6" s="3">
        <v>0</v>
      </c>
      <c r="AR6" s="3">
        <v>344637</v>
      </c>
      <c r="AS6" s="3">
        <v>344637</v>
      </c>
      <c r="AT6" s="3">
        <v>0</v>
      </c>
      <c r="AU6" s="3">
        <v>344637</v>
      </c>
      <c r="AV6" s="3"/>
    </row>
    <row r="7" spans="1:48" customFormat="1" x14ac:dyDescent="0.3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8"/>
      <c r="Q7" s="9"/>
      <c r="R7" s="6"/>
    </row>
    <row r="8" spans="1:48" customFormat="1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2"/>
      <c r="Q8" s="10"/>
      <c r="R8" s="10"/>
    </row>
    <row r="9" spans="1:48" x14ac:dyDescent="0.3">
      <c r="A9"/>
      <c r="B9"/>
      <c r="C9" s="13"/>
      <c r="D9" s="14"/>
      <c r="E9" s="15"/>
      <c r="F9" s="15"/>
      <c r="G9" s="15"/>
      <c r="H9" s="16"/>
      <c r="I9" s="16"/>
      <c r="J9" s="16"/>
      <c r="K9" s="16"/>
      <c r="L9" s="17"/>
      <c r="M9" s="17"/>
      <c r="N9" s="11"/>
      <c r="O9" s="11"/>
      <c r="P9" s="13"/>
      <c r="Q9" s="13"/>
      <c r="R9" s="13"/>
    </row>
    <row r="10" spans="1:48" x14ac:dyDescent="0.3">
      <c r="C10" s="13"/>
      <c r="D10" s="14"/>
      <c r="E10" s="15"/>
      <c r="F10" s="15"/>
      <c r="G10" s="15"/>
      <c r="H10" s="16"/>
      <c r="I10" s="16"/>
      <c r="J10" s="16"/>
      <c r="K10" s="16"/>
      <c r="L10" s="16"/>
      <c r="M10" s="16"/>
      <c r="N10" s="11"/>
      <c r="O10" s="11"/>
      <c r="P10" s="13"/>
      <c r="Q10" s="13"/>
      <c r="R10" s="13"/>
    </row>
    <row r="11" spans="1:48" customFormat="1" x14ac:dyDescent="0.3"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48" customFormat="1" x14ac:dyDescent="0.3"/>
    <row r="13" spans="1:48" customFormat="1" x14ac:dyDescent="0.3">
      <c r="C13" s="19" t="s">
        <v>20</v>
      </c>
    </row>
    <row r="14" spans="1:48" customFormat="1" ht="14.4" customHeight="1" x14ac:dyDescent="0.3"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48" customFormat="1" x14ac:dyDescent="0.3">
      <c r="C15" s="20" t="s">
        <v>21</v>
      </c>
    </row>
    <row r="16" spans="1:48" customFormat="1" ht="14.4" customHeight="1" x14ac:dyDescent="0.3">
      <c r="D16" s="53" t="s">
        <v>1297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7" spans="3:16" customFormat="1" x14ac:dyDescent="0.3">
      <c r="C17" s="20" t="s">
        <v>22</v>
      </c>
    </row>
    <row r="18" spans="3:16" customFormat="1" x14ac:dyDescent="0.3"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3:16" customFormat="1" x14ac:dyDescent="0.3">
      <c r="C19" s="20" t="s">
        <v>23</v>
      </c>
    </row>
    <row r="20" spans="3:16" customFormat="1" x14ac:dyDescent="0.3"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3:16" customFormat="1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customFormat="1" x14ac:dyDescent="0.3">
      <c r="C22" s="2" t="s">
        <v>24</v>
      </c>
      <c r="D22" s="22"/>
      <c r="E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3:16" customFormat="1" x14ac:dyDescent="0.3"/>
    <row r="24" spans="3:16" customFormat="1" x14ac:dyDescent="0.3">
      <c r="C24" t="s">
        <v>1263</v>
      </c>
      <c r="D24" s="54">
        <v>541</v>
      </c>
      <c r="E24" s="37" t="s">
        <v>1298</v>
      </c>
    </row>
    <row r="25" spans="3:16" customFormat="1" x14ac:dyDescent="0.3">
      <c r="C25" t="s">
        <v>1264</v>
      </c>
      <c r="D25" s="54">
        <v>1676</v>
      </c>
      <c r="E25" s="37" t="s">
        <v>1298</v>
      </c>
    </row>
    <row r="26" spans="3:16" customFormat="1" x14ac:dyDescent="0.3">
      <c r="C26" t="s">
        <v>1265</v>
      </c>
      <c r="D26" s="54">
        <v>9623</v>
      </c>
      <c r="E26" s="37" t="s">
        <v>1298</v>
      </c>
    </row>
    <row r="27" spans="3:16" customFormat="1" x14ac:dyDescent="0.3">
      <c r="C27" t="s">
        <v>1266</v>
      </c>
      <c r="D27" s="54">
        <v>2053</v>
      </c>
      <c r="E27" s="37" t="s">
        <v>1298</v>
      </c>
    </row>
    <row r="28" spans="3:16" customFormat="1" x14ac:dyDescent="0.3">
      <c r="C28" t="s">
        <v>1267</v>
      </c>
      <c r="D28" s="54">
        <v>4543</v>
      </c>
      <c r="E28" s="37" t="s">
        <v>1298</v>
      </c>
    </row>
    <row r="29" spans="3:16" customFormat="1" x14ac:dyDescent="0.3">
      <c r="C29" t="s">
        <v>1268</v>
      </c>
      <c r="D29" s="54">
        <v>36548</v>
      </c>
      <c r="E29" s="37" t="s">
        <v>1298</v>
      </c>
    </row>
    <row r="30" spans="3:16" customFormat="1" x14ac:dyDescent="0.3">
      <c r="C30" t="s">
        <v>1269</v>
      </c>
      <c r="D30" s="54">
        <v>1086</v>
      </c>
      <c r="E30" s="37" t="s">
        <v>1298</v>
      </c>
    </row>
    <row r="31" spans="3:16" customFormat="1" x14ac:dyDescent="0.3">
      <c r="C31" t="s">
        <v>1270</v>
      </c>
      <c r="D31" s="54">
        <v>17856</v>
      </c>
      <c r="E31" s="37" t="s">
        <v>1298</v>
      </c>
    </row>
    <row r="32" spans="3:16" customFormat="1" x14ac:dyDescent="0.3">
      <c r="C32" t="s">
        <v>1271</v>
      </c>
      <c r="D32" s="54">
        <v>541</v>
      </c>
      <c r="E32" s="37" t="s">
        <v>1298</v>
      </c>
    </row>
    <row r="33" spans="3:5" customFormat="1" x14ac:dyDescent="0.3">
      <c r="C33" t="s">
        <v>1272</v>
      </c>
      <c r="D33" s="54">
        <v>5096</v>
      </c>
      <c r="E33" s="37" t="s">
        <v>1298</v>
      </c>
    </row>
    <row r="34" spans="3:5" customFormat="1" x14ac:dyDescent="0.3">
      <c r="C34" t="s">
        <v>1273</v>
      </c>
      <c r="D34" s="54">
        <v>170079</v>
      </c>
      <c r="E34" s="37" t="s">
        <v>1298</v>
      </c>
    </row>
    <row r="35" spans="3:5" customFormat="1" x14ac:dyDescent="0.3">
      <c r="C35" t="s">
        <v>1274</v>
      </c>
      <c r="D35" s="54">
        <v>3894</v>
      </c>
      <c r="E35" s="37" t="s">
        <v>1298</v>
      </c>
    </row>
    <row r="36" spans="3:5" customFormat="1" x14ac:dyDescent="0.3">
      <c r="C36" t="s">
        <v>1275</v>
      </c>
      <c r="D36" s="54">
        <v>243579</v>
      </c>
      <c r="E36" s="37" t="s">
        <v>1298</v>
      </c>
    </row>
    <row r="37" spans="3:5" customFormat="1" x14ac:dyDescent="0.3">
      <c r="C37" t="s">
        <v>1276</v>
      </c>
      <c r="D37" s="54">
        <v>541</v>
      </c>
      <c r="E37" s="37" t="s">
        <v>1298</v>
      </c>
    </row>
    <row r="38" spans="3:5" customFormat="1" x14ac:dyDescent="0.3">
      <c r="C38" t="s">
        <v>1277</v>
      </c>
      <c r="D38" s="54">
        <v>682</v>
      </c>
      <c r="E38" s="37" t="s">
        <v>1298</v>
      </c>
    </row>
    <row r="39" spans="3:5" customFormat="1" x14ac:dyDescent="0.3">
      <c r="C39" t="s">
        <v>1278</v>
      </c>
      <c r="D39" s="54">
        <v>8244</v>
      </c>
      <c r="E39" s="37" t="s">
        <v>1298</v>
      </c>
    </row>
    <row r="40" spans="3:5" customFormat="1" x14ac:dyDescent="0.3">
      <c r="C40" t="s">
        <v>1279</v>
      </c>
      <c r="D40" s="54">
        <v>586</v>
      </c>
      <c r="E40" s="37" t="s">
        <v>1298</v>
      </c>
    </row>
    <row r="41" spans="3:5" customFormat="1" x14ac:dyDescent="0.3">
      <c r="C41" t="s">
        <v>1280</v>
      </c>
      <c r="D41" s="54">
        <v>297382</v>
      </c>
      <c r="E41" s="37" t="s">
        <v>1298</v>
      </c>
    </row>
    <row r="42" spans="3:5" customFormat="1" x14ac:dyDescent="0.3">
      <c r="C42" t="s">
        <v>1281</v>
      </c>
      <c r="D42" s="54">
        <v>388</v>
      </c>
      <c r="E42" s="37" t="s">
        <v>1299</v>
      </c>
    </row>
    <row r="43" spans="3:5" customFormat="1" x14ac:dyDescent="0.3">
      <c r="C43" t="s">
        <v>1282</v>
      </c>
      <c r="D43" s="54">
        <v>340200</v>
      </c>
      <c r="E43" s="37" t="s">
        <v>1299</v>
      </c>
    </row>
    <row r="44" spans="3:5" customFormat="1" x14ac:dyDescent="0.3">
      <c r="C44" t="s">
        <v>1283</v>
      </c>
      <c r="D44" s="54">
        <v>225931</v>
      </c>
      <c r="E44" s="37" t="s">
        <v>1300</v>
      </c>
    </row>
    <row r="45" spans="3:5" customFormat="1" x14ac:dyDescent="0.3">
      <c r="C45" t="s">
        <v>1284</v>
      </c>
      <c r="D45" s="54">
        <v>340200</v>
      </c>
      <c r="E45" s="37" t="s">
        <v>1301</v>
      </c>
    </row>
    <row r="46" spans="3:5" customFormat="1" x14ac:dyDescent="0.3">
      <c r="C46" t="s">
        <v>1285</v>
      </c>
      <c r="D46" s="54">
        <v>181</v>
      </c>
      <c r="E46" s="37" t="s">
        <v>1301</v>
      </c>
    </row>
    <row r="47" spans="3:5" customFormat="1" x14ac:dyDescent="0.3">
      <c r="C47" t="s">
        <v>1286</v>
      </c>
      <c r="D47" s="54">
        <v>181</v>
      </c>
      <c r="E47" s="37" t="s">
        <v>1302</v>
      </c>
    </row>
    <row r="48" spans="3:5" customFormat="1" x14ac:dyDescent="0.3">
      <c r="C48" t="s">
        <v>1287</v>
      </c>
      <c r="D48" s="54">
        <v>3</v>
      </c>
      <c r="E48" s="37" t="s">
        <v>1303</v>
      </c>
    </row>
    <row r="49" spans="3:16" customFormat="1" x14ac:dyDescent="0.3">
      <c r="C49" t="s">
        <v>1288</v>
      </c>
      <c r="D49" s="54">
        <v>181</v>
      </c>
      <c r="E49" s="37" t="s">
        <v>1301</v>
      </c>
    </row>
    <row r="50" spans="3:16" customFormat="1" x14ac:dyDescent="0.3">
      <c r="C50" t="s">
        <v>1289</v>
      </c>
      <c r="D50" s="54">
        <v>181</v>
      </c>
      <c r="E50" s="37" t="s">
        <v>1301</v>
      </c>
    </row>
    <row r="51" spans="3:16" customFormat="1" x14ac:dyDescent="0.3">
      <c r="C51" t="s">
        <v>1291</v>
      </c>
      <c r="D51" s="54">
        <v>181</v>
      </c>
      <c r="E51" s="37" t="s">
        <v>1304</v>
      </c>
    </row>
    <row r="52" spans="3:16" customFormat="1" x14ac:dyDescent="0.3">
      <c r="C52" t="s">
        <v>1292</v>
      </c>
      <c r="D52" s="54">
        <v>181</v>
      </c>
      <c r="E52" s="37" t="s">
        <v>1303</v>
      </c>
      <c r="F52" s="54" t="s">
        <v>1305</v>
      </c>
    </row>
    <row r="53" spans="3:16" customFormat="1" x14ac:dyDescent="0.3">
      <c r="C53" t="s">
        <v>1293</v>
      </c>
      <c r="D53" s="54">
        <v>181</v>
      </c>
      <c r="E53" s="37" t="s">
        <v>1306</v>
      </c>
    </row>
    <row r="54" spans="3:16" customFormat="1" x14ac:dyDescent="0.3">
      <c r="C54" t="s">
        <v>1294</v>
      </c>
      <c r="D54" s="54">
        <v>181</v>
      </c>
      <c r="E54" s="37" t="s">
        <v>1307</v>
      </c>
    </row>
    <row r="55" spans="3:16" customFormat="1" x14ac:dyDescent="0.3"/>
    <row r="56" spans="3:16" customFormat="1" x14ac:dyDescent="0.3">
      <c r="C56" s="2" t="s">
        <v>25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3:16" customFormat="1" x14ac:dyDescent="0.3"/>
    <row r="58" spans="3:16" customFormat="1" x14ac:dyDescent="0.3">
      <c r="C58" s="56" t="s">
        <v>1308</v>
      </c>
    </row>
    <row r="59" spans="3:16" customFormat="1" x14ac:dyDescent="0.3">
      <c r="D59" s="57" t="s">
        <v>1309</v>
      </c>
      <c r="E59" s="57"/>
      <c r="F59" s="57"/>
      <c r="G59" s="57"/>
      <c r="H59" s="57"/>
      <c r="I59" s="57"/>
      <c r="J59" s="57"/>
      <c r="K59" s="57"/>
      <c r="L59" s="57"/>
      <c r="M59" s="57"/>
      <c r="N59" s="57"/>
    </row>
    <row r="60" spans="3:16" customFormat="1" x14ac:dyDescent="0.3"/>
    <row r="61" spans="3:16" customFormat="1" x14ac:dyDescent="0.3">
      <c r="C61" s="3" t="s">
        <v>1</v>
      </c>
      <c r="D61" s="3" t="s">
        <v>459</v>
      </c>
      <c r="E61" s="3" t="s">
        <v>3</v>
      </c>
      <c r="F61" s="3" t="s">
        <v>108</v>
      </c>
      <c r="G61" s="3" t="s">
        <v>109</v>
      </c>
      <c r="H61" s="3" t="s">
        <v>110</v>
      </c>
      <c r="I61" s="3" t="s">
        <v>1213</v>
      </c>
      <c r="J61" s="3" t="s">
        <v>1214</v>
      </c>
    </row>
    <row r="62" spans="3:16" customFormat="1" x14ac:dyDescent="0.3">
      <c r="C62" s="51">
        <v>45565</v>
      </c>
      <c r="D62" s="3" t="s">
        <v>37</v>
      </c>
      <c r="E62" s="3">
        <v>344637</v>
      </c>
      <c r="F62" s="58">
        <v>344637</v>
      </c>
      <c r="G62" s="3">
        <v>0</v>
      </c>
      <c r="H62" s="3">
        <v>0</v>
      </c>
      <c r="I62" s="3">
        <v>0</v>
      </c>
      <c r="J62" s="3">
        <v>0</v>
      </c>
    </row>
    <row r="63" spans="3:16" customFormat="1" x14ac:dyDescent="0.3">
      <c r="C63" s="4"/>
    </row>
    <row r="64" spans="3:16" customFormat="1" x14ac:dyDescent="0.3">
      <c r="C64" s="56" t="s">
        <v>1310</v>
      </c>
    </row>
    <row r="65" spans="3:14" customFormat="1" x14ac:dyDescent="0.3">
      <c r="D65" s="59" t="s">
        <v>1311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</row>
    <row r="66" spans="3:14" customFormat="1" x14ac:dyDescent="0.3"/>
    <row r="67" spans="3:14" customFormat="1" x14ac:dyDescent="0.3">
      <c r="C67" s="3" t="s">
        <v>1</v>
      </c>
      <c r="D67" s="3" t="s">
        <v>459</v>
      </c>
      <c r="E67" s="3" t="s">
        <v>3</v>
      </c>
      <c r="F67" s="3" t="s">
        <v>108</v>
      </c>
      <c r="G67" s="3" t="s">
        <v>109</v>
      </c>
      <c r="H67" s="3" t="s">
        <v>110</v>
      </c>
      <c r="I67" s="3" t="s">
        <v>1213</v>
      </c>
      <c r="J67" s="3" t="s">
        <v>1214</v>
      </c>
    </row>
    <row r="68" spans="3:14" customFormat="1" x14ac:dyDescent="0.3">
      <c r="C68" s="51">
        <v>45565</v>
      </c>
      <c r="D68" s="3" t="s">
        <v>37</v>
      </c>
      <c r="E68" s="3">
        <v>344637</v>
      </c>
      <c r="F68" s="58">
        <v>344637</v>
      </c>
      <c r="G68" s="3">
        <v>0</v>
      </c>
      <c r="H68" s="3">
        <v>0</v>
      </c>
      <c r="I68" s="3">
        <v>0</v>
      </c>
      <c r="J68" s="3">
        <v>0</v>
      </c>
    </row>
    <row r="69" spans="3:14" customFormat="1" x14ac:dyDescent="0.3">
      <c r="C69" s="4"/>
    </row>
    <row r="70" spans="3:14" customFormat="1" x14ac:dyDescent="0.3">
      <c r="C70" s="56" t="s">
        <v>1312</v>
      </c>
    </row>
    <row r="71" spans="3:14" customFormat="1" x14ac:dyDescent="0.3">
      <c r="D71" s="52" t="s">
        <v>1313</v>
      </c>
      <c r="E71" s="61"/>
      <c r="F71" s="61"/>
      <c r="G71" s="61"/>
      <c r="H71" s="61"/>
      <c r="I71" s="61"/>
      <c r="J71" s="61"/>
      <c r="K71" s="61"/>
      <c r="L71" s="61"/>
      <c r="M71" s="61"/>
      <c r="N71" s="61"/>
    </row>
    <row r="72" spans="3:14" customFormat="1" x14ac:dyDescent="0.3"/>
    <row r="73" spans="3:14" customFormat="1" x14ac:dyDescent="0.3">
      <c r="C73" s="3" t="s">
        <v>1</v>
      </c>
      <c r="D73" s="3" t="s">
        <v>459</v>
      </c>
      <c r="E73" s="3" t="s">
        <v>3</v>
      </c>
      <c r="F73" s="3" t="s">
        <v>108</v>
      </c>
      <c r="G73" s="3" t="s">
        <v>109</v>
      </c>
      <c r="H73" s="3" t="s">
        <v>110</v>
      </c>
      <c r="I73" s="3" t="s">
        <v>1213</v>
      </c>
      <c r="J73" s="3" t="s">
        <v>1214</v>
      </c>
    </row>
    <row r="74" spans="3:14" customFormat="1" x14ac:dyDescent="0.3">
      <c r="C74" s="51">
        <v>45565</v>
      </c>
      <c r="D74" s="3" t="s">
        <v>37</v>
      </c>
      <c r="E74" s="3">
        <v>344637</v>
      </c>
      <c r="F74" s="58">
        <v>344637</v>
      </c>
      <c r="G74" s="3">
        <v>0</v>
      </c>
      <c r="H74" s="3">
        <v>0</v>
      </c>
      <c r="I74" s="3">
        <v>0</v>
      </c>
      <c r="J74" s="3">
        <v>0</v>
      </c>
    </row>
    <row r="75" spans="3:14" customFormat="1" x14ac:dyDescent="0.3"/>
    <row r="76" spans="3:14" customFormat="1" x14ac:dyDescent="0.3">
      <c r="C76" s="56" t="s">
        <v>1314</v>
      </c>
    </row>
    <row r="77" spans="3:14" customFormat="1" x14ac:dyDescent="0.3">
      <c r="D77" s="57" t="s">
        <v>1315</v>
      </c>
      <c r="E77" s="57"/>
      <c r="F77" s="57"/>
      <c r="G77" s="57"/>
      <c r="H77" s="57"/>
      <c r="I77" s="57"/>
      <c r="J77" s="57"/>
      <c r="K77" s="57"/>
      <c r="L77" s="57"/>
      <c r="M77" s="57"/>
      <c r="N77" s="57"/>
    </row>
    <row r="78" spans="3:14" customFormat="1" x14ac:dyDescent="0.3"/>
    <row r="79" spans="3:14" customFormat="1" x14ac:dyDescent="0.3">
      <c r="C79" s="3" t="s">
        <v>1</v>
      </c>
      <c r="D79" s="3" t="s">
        <v>459</v>
      </c>
      <c r="E79" s="3" t="s">
        <v>3</v>
      </c>
      <c r="F79" s="3" t="s">
        <v>108</v>
      </c>
      <c r="G79" s="3" t="s">
        <v>109</v>
      </c>
      <c r="H79" s="3" t="s">
        <v>110</v>
      </c>
      <c r="I79" s="3" t="s">
        <v>1213</v>
      </c>
      <c r="J79" s="3" t="s">
        <v>1214</v>
      </c>
    </row>
    <row r="80" spans="3:14" customFormat="1" x14ac:dyDescent="0.3">
      <c r="C80" s="51">
        <v>45565</v>
      </c>
      <c r="D80" s="3" t="s">
        <v>37</v>
      </c>
      <c r="E80" s="3">
        <v>344637</v>
      </c>
      <c r="F80" s="58">
        <v>344637</v>
      </c>
      <c r="G80" s="3">
        <v>0</v>
      </c>
      <c r="H80" s="3">
        <v>0</v>
      </c>
      <c r="I80" s="3">
        <v>0</v>
      </c>
      <c r="J80" s="3">
        <v>0</v>
      </c>
    </row>
    <row r="81" spans="3:14" customFormat="1" x14ac:dyDescent="0.3">
      <c r="C81" s="4"/>
    </row>
    <row r="82" spans="3:14" customFormat="1" x14ac:dyDescent="0.3">
      <c r="C82" s="56" t="s">
        <v>1316</v>
      </c>
    </row>
    <row r="83" spans="3:14" customFormat="1" x14ac:dyDescent="0.3">
      <c r="D83" s="59" t="s">
        <v>1317</v>
      </c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spans="3:14" customFormat="1" x14ac:dyDescent="0.3"/>
    <row r="85" spans="3:14" customFormat="1" x14ac:dyDescent="0.3">
      <c r="C85" s="3" t="s">
        <v>1</v>
      </c>
      <c r="D85" s="3" t="s">
        <v>459</v>
      </c>
      <c r="E85" s="3" t="s">
        <v>3</v>
      </c>
      <c r="F85" s="3" t="s">
        <v>108</v>
      </c>
      <c r="G85" s="3" t="s">
        <v>109</v>
      </c>
      <c r="H85" s="3" t="s">
        <v>110</v>
      </c>
      <c r="I85" s="3" t="s">
        <v>1213</v>
      </c>
      <c r="J85" s="3" t="s">
        <v>1214</v>
      </c>
    </row>
    <row r="86" spans="3:14" customFormat="1" x14ac:dyDescent="0.3">
      <c r="C86" s="51">
        <v>45565</v>
      </c>
      <c r="D86" s="3" t="s">
        <v>37</v>
      </c>
      <c r="E86" s="3">
        <v>344637</v>
      </c>
      <c r="F86" s="58">
        <v>344637</v>
      </c>
      <c r="G86" s="3">
        <v>0</v>
      </c>
      <c r="H86" s="3">
        <v>0</v>
      </c>
      <c r="I86" s="3">
        <v>0</v>
      </c>
      <c r="J86" s="3">
        <v>0</v>
      </c>
    </row>
    <row r="87" spans="3:14" customFormat="1" x14ac:dyDescent="0.3">
      <c r="C87" s="4"/>
    </row>
    <row r="88" spans="3:14" customFormat="1" x14ac:dyDescent="0.3">
      <c r="C88" s="56" t="s">
        <v>1318</v>
      </c>
    </row>
    <row r="89" spans="3:14" customFormat="1" x14ac:dyDescent="0.3">
      <c r="D89" s="52" t="s">
        <v>1319</v>
      </c>
      <c r="E89" s="61"/>
      <c r="F89" s="61"/>
      <c r="G89" s="61"/>
      <c r="H89" s="61"/>
      <c r="I89" s="61"/>
      <c r="J89" s="61"/>
      <c r="K89" s="61"/>
      <c r="L89" s="61"/>
      <c r="M89" s="61"/>
      <c r="N89" s="61"/>
    </row>
    <row r="90" spans="3:14" customFormat="1" x14ac:dyDescent="0.3"/>
    <row r="91" spans="3:14" customFormat="1" x14ac:dyDescent="0.3">
      <c r="C91" s="3" t="s">
        <v>1</v>
      </c>
      <c r="D91" s="3" t="s">
        <v>459</v>
      </c>
      <c r="E91" s="3" t="s">
        <v>3</v>
      </c>
      <c r="F91" s="3" t="s">
        <v>108</v>
      </c>
      <c r="G91" s="3" t="s">
        <v>109</v>
      </c>
      <c r="H91" s="3" t="s">
        <v>110</v>
      </c>
      <c r="I91" s="3" t="s">
        <v>1213</v>
      </c>
      <c r="J91" s="3" t="s">
        <v>1214</v>
      </c>
    </row>
    <row r="92" spans="3:14" customFormat="1" x14ac:dyDescent="0.3">
      <c r="C92" s="51">
        <v>45565</v>
      </c>
      <c r="D92" s="3" t="s">
        <v>37</v>
      </c>
      <c r="E92" s="3">
        <v>344637</v>
      </c>
      <c r="F92" s="58">
        <v>344637</v>
      </c>
      <c r="G92" s="3">
        <v>0</v>
      </c>
      <c r="H92" s="3">
        <v>0</v>
      </c>
      <c r="I92" s="3">
        <v>0</v>
      </c>
      <c r="J92" s="3">
        <v>0</v>
      </c>
    </row>
    <row r="93" spans="3:14" customFormat="1" x14ac:dyDescent="0.3"/>
    <row r="94" spans="3:14" customFormat="1" x14ac:dyDescent="0.3">
      <c r="C94" s="56" t="s">
        <v>1320</v>
      </c>
    </row>
    <row r="95" spans="3:14" customFormat="1" x14ac:dyDescent="0.3">
      <c r="D95" s="57" t="s">
        <v>1321</v>
      </c>
      <c r="E95" s="57"/>
      <c r="F95" s="57"/>
      <c r="G95" s="57"/>
      <c r="H95" s="57"/>
      <c r="I95" s="57"/>
      <c r="J95" s="57"/>
      <c r="K95" s="57"/>
      <c r="L95" s="57"/>
      <c r="M95" s="57"/>
      <c r="N95" s="57"/>
    </row>
    <row r="96" spans="3:14" customFormat="1" x14ac:dyDescent="0.3"/>
    <row r="97" spans="3:14" customFormat="1" x14ac:dyDescent="0.3">
      <c r="C97" s="3" t="s">
        <v>1</v>
      </c>
      <c r="D97" s="3" t="s">
        <v>459</v>
      </c>
      <c r="E97" s="3" t="s">
        <v>3</v>
      </c>
      <c r="F97" s="3" t="s">
        <v>108</v>
      </c>
      <c r="G97" s="3" t="s">
        <v>109</v>
      </c>
      <c r="H97" s="3" t="s">
        <v>110</v>
      </c>
      <c r="I97" s="3" t="s">
        <v>1213</v>
      </c>
      <c r="J97" s="3" t="s">
        <v>1214</v>
      </c>
    </row>
    <row r="98" spans="3:14" customFormat="1" x14ac:dyDescent="0.3">
      <c r="C98" s="51">
        <v>45565</v>
      </c>
      <c r="D98" s="3" t="s">
        <v>37</v>
      </c>
      <c r="E98" s="3">
        <v>344637</v>
      </c>
      <c r="F98" s="58">
        <v>344637</v>
      </c>
      <c r="G98" s="3">
        <v>0</v>
      </c>
      <c r="H98" s="3">
        <v>0</v>
      </c>
      <c r="I98" s="3">
        <v>0</v>
      </c>
      <c r="J98" s="3">
        <v>0</v>
      </c>
    </row>
    <row r="99" spans="3:14" customFormat="1" x14ac:dyDescent="0.3">
      <c r="C99" s="4"/>
    </row>
    <row r="100" spans="3:14" customFormat="1" x14ac:dyDescent="0.3">
      <c r="C100" s="56" t="s">
        <v>1322</v>
      </c>
    </row>
    <row r="101" spans="3:14" customFormat="1" x14ac:dyDescent="0.3">
      <c r="D101" s="59" t="s">
        <v>1323</v>
      </c>
      <c r="E101" s="60"/>
      <c r="F101" s="60"/>
      <c r="G101" s="60"/>
      <c r="H101" s="60"/>
      <c r="I101" s="60"/>
      <c r="J101" s="60"/>
      <c r="K101" s="60"/>
      <c r="L101" s="60"/>
      <c r="M101" s="60"/>
      <c r="N101" s="60"/>
    </row>
    <row r="102" spans="3:14" customFormat="1" x14ac:dyDescent="0.3"/>
    <row r="103" spans="3:14" customFormat="1" x14ac:dyDescent="0.3">
      <c r="C103" s="3" t="s">
        <v>1</v>
      </c>
      <c r="D103" s="3" t="s">
        <v>459</v>
      </c>
      <c r="E103" s="3" t="s">
        <v>3</v>
      </c>
      <c r="F103" s="3" t="s">
        <v>108</v>
      </c>
      <c r="G103" s="3" t="s">
        <v>109</v>
      </c>
      <c r="H103" s="3" t="s">
        <v>110</v>
      </c>
      <c r="I103" s="3" t="s">
        <v>1213</v>
      </c>
      <c r="J103" s="3" t="s">
        <v>1214</v>
      </c>
    </row>
    <row r="104" spans="3:14" customFormat="1" x14ac:dyDescent="0.3">
      <c r="C104" s="51">
        <v>45565</v>
      </c>
      <c r="D104" s="3" t="s">
        <v>37</v>
      </c>
      <c r="E104" s="3">
        <v>344637</v>
      </c>
      <c r="F104" s="58">
        <v>344637</v>
      </c>
      <c r="G104" s="3">
        <v>0</v>
      </c>
      <c r="H104" s="3">
        <v>0</v>
      </c>
      <c r="I104" s="3">
        <v>0</v>
      </c>
      <c r="J104" s="3">
        <v>0</v>
      </c>
    </row>
    <row r="105" spans="3:14" customFormat="1" x14ac:dyDescent="0.3">
      <c r="C105" s="4"/>
    </row>
    <row r="106" spans="3:14" customFormat="1" x14ac:dyDescent="0.3">
      <c r="C106" s="56" t="s">
        <v>1324</v>
      </c>
    </row>
    <row r="107" spans="3:14" customFormat="1" x14ac:dyDescent="0.3">
      <c r="D107" s="52" t="s">
        <v>1325</v>
      </c>
      <c r="E107" s="61"/>
      <c r="F107" s="61"/>
      <c r="G107" s="61"/>
      <c r="H107" s="61"/>
      <c r="I107" s="61"/>
      <c r="J107" s="61"/>
      <c r="K107" s="61"/>
      <c r="L107" s="61"/>
      <c r="M107" s="61"/>
      <c r="N107" s="61"/>
    </row>
    <row r="108" spans="3:14" customFormat="1" x14ac:dyDescent="0.3"/>
    <row r="109" spans="3:14" customFormat="1" x14ac:dyDescent="0.3">
      <c r="C109" s="3" t="s">
        <v>1</v>
      </c>
      <c r="D109" s="3" t="s">
        <v>459</v>
      </c>
      <c r="E109" s="3" t="s">
        <v>3</v>
      </c>
      <c r="F109" s="3" t="s">
        <v>108</v>
      </c>
      <c r="G109" s="3" t="s">
        <v>109</v>
      </c>
      <c r="H109" s="3" t="s">
        <v>110</v>
      </c>
      <c r="I109" s="3" t="s">
        <v>1213</v>
      </c>
      <c r="J109" s="3" t="s">
        <v>1214</v>
      </c>
    </row>
    <row r="110" spans="3:14" customFormat="1" x14ac:dyDescent="0.3">
      <c r="C110" s="51">
        <v>45565</v>
      </c>
      <c r="D110" s="3" t="s">
        <v>37</v>
      </c>
      <c r="E110" s="3">
        <v>344637</v>
      </c>
      <c r="F110" s="58">
        <v>344637</v>
      </c>
      <c r="G110" s="3">
        <v>0</v>
      </c>
      <c r="H110" s="3">
        <v>0</v>
      </c>
      <c r="I110" s="3">
        <v>0</v>
      </c>
      <c r="J110" s="3">
        <v>0</v>
      </c>
    </row>
    <row r="111" spans="3:14" customFormat="1" x14ac:dyDescent="0.3"/>
    <row r="112" spans="3:14" customFormat="1" x14ac:dyDescent="0.3">
      <c r="C112" s="56" t="s">
        <v>1326</v>
      </c>
    </row>
    <row r="113" spans="3:14" customFormat="1" x14ac:dyDescent="0.3">
      <c r="D113" s="57" t="s">
        <v>1327</v>
      </c>
      <c r="E113" s="57"/>
      <c r="F113" s="57"/>
      <c r="G113" s="57"/>
      <c r="H113" s="57"/>
      <c r="I113" s="57"/>
      <c r="J113" s="57"/>
      <c r="K113" s="57"/>
      <c r="L113" s="57"/>
      <c r="M113" s="57"/>
      <c r="N113" s="57"/>
    </row>
    <row r="114" spans="3:14" customFormat="1" x14ac:dyDescent="0.3"/>
    <row r="115" spans="3:14" customFormat="1" x14ac:dyDescent="0.3">
      <c r="C115" s="3" t="s">
        <v>1</v>
      </c>
      <c r="D115" s="3" t="s">
        <v>459</v>
      </c>
      <c r="E115" s="3" t="s">
        <v>3</v>
      </c>
      <c r="F115" s="3" t="s">
        <v>108</v>
      </c>
      <c r="G115" s="3" t="s">
        <v>109</v>
      </c>
      <c r="H115" s="3" t="s">
        <v>110</v>
      </c>
      <c r="I115" s="3" t="s">
        <v>1213</v>
      </c>
      <c r="J115" s="3" t="s">
        <v>1214</v>
      </c>
    </row>
    <row r="116" spans="3:14" customFormat="1" x14ac:dyDescent="0.3">
      <c r="C116" s="51">
        <v>45565</v>
      </c>
      <c r="D116" s="3" t="s">
        <v>37</v>
      </c>
      <c r="E116" s="3">
        <v>344637</v>
      </c>
      <c r="F116" s="58">
        <v>344637</v>
      </c>
      <c r="G116" s="3">
        <v>0</v>
      </c>
      <c r="H116" s="3">
        <v>0</v>
      </c>
      <c r="I116" s="3">
        <v>0</v>
      </c>
      <c r="J116" s="3">
        <v>0</v>
      </c>
    </row>
    <row r="117" spans="3:14" customFormat="1" x14ac:dyDescent="0.3">
      <c r="C117" s="4"/>
    </row>
    <row r="118" spans="3:14" customFormat="1" x14ac:dyDescent="0.3">
      <c r="C118" s="56" t="s">
        <v>1328</v>
      </c>
    </row>
    <row r="119" spans="3:14" customFormat="1" x14ac:dyDescent="0.3">
      <c r="D119" s="59" t="s">
        <v>1329</v>
      </c>
      <c r="E119" s="60"/>
      <c r="F119" s="60"/>
      <c r="G119" s="60"/>
      <c r="H119" s="60"/>
      <c r="I119" s="60"/>
      <c r="J119" s="60"/>
      <c r="K119" s="60"/>
      <c r="L119" s="60"/>
      <c r="M119" s="60"/>
      <c r="N119" s="60"/>
    </row>
    <row r="120" spans="3:14" customFormat="1" x14ac:dyDescent="0.3"/>
    <row r="121" spans="3:14" customFormat="1" x14ac:dyDescent="0.3">
      <c r="C121" s="3" t="s">
        <v>1</v>
      </c>
      <c r="D121" s="3" t="s">
        <v>459</v>
      </c>
      <c r="E121" s="3" t="s">
        <v>3</v>
      </c>
      <c r="F121" s="3" t="s">
        <v>108</v>
      </c>
      <c r="G121" s="3" t="s">
        <v>109</v>
      </c>
      <c r="H121" s="3" t="s">
        <v>110</v>
      </c>
      <c r="I121" s="3" t="s">
        <v>1213</v>
      </c>
      <c r="J121" s="3" t="s">
        <v>1214</v>
      </c>
    </row>
    <row r="122" spans="3:14" customFormat="1" x14ac:dyDescent="0.3">
      <c r="C122" s="51">
        <v>45565</v>
      </c>
      <c r="D122" s="3" t="s">
        <v>37</v>
      </c>
      <c r="E122" s="3">
        <v>344637</v>
      </c>
      <c r="F122" s="58">
        <v>344637</v>
      </c>
      <c r="G122" s="3">
        <v>0</v>
      </c>
      <c r="H122" s="3">
        <v>0</v>
      </c>
      <c r="I122" s="3">
        <v>0</v>
      </c>
      <c r="J122" s="3">
        <v>0</v>
      </c>
    </row>
    <row r="123" spans="3:14" customFormat="1" x14ac:dyDescent="0.3">
      <c r="C123" s="4"/>
    </row>
    <row r="124" spans="3:14" customFormat="1" x14ac:dyDescent="0.3">
      <c r="C124" s="56" t="s">
        <v>1330</v>
      </c>
    </row>
    <row r="125" spans="3:14" customFormat="1" x14ac:dyDescent="0.3">
      <c r="D125" s="52" t="s">
        <v>1331</v>
      </c>
      <c r="E125" s="61"/>
      <c r="F125" s="61"/>
      <c r="G125" s="61"/>
      <c r="H125" s="61"/>
      <c r="I125" s="61"/>
      <c r="J125" s="61"/>
      <c r="K125" s="61"/>
      <c r="L125" s="61"/>
      <c r="M125" s="61"/>
      <c r="N125" s="61"/>
    </row>
    <row r="126" spans="3:14" customFormat="1" x14ac:dyDescent="0.3"/>
    <row r="127" spans="3:14" customFormat="1" x14ac:dyDescent="0.3">
      <c r="C127" s="3" t="s">
        <v>1</v>
      </c>
      <c r="D127" s="3" t="s">
        <v>459</v>
      </c>
      <c r="E127" s="3" t="s">
        <v>3</v>
      </c>
      <c r="F127" s="3" t="s">
        <v>108</v>
      </c>
      <c r="G127" s="3" t="s">
        <v>109</v>
      </c>
      <c r="H127" s="3" t="s">
        <v>110</v>
      </c>
      <c r="I127" s="3" t="s">
        <v>1213</v>
      </c>
      <c r="J127" s="3" t="s">
        <v>1214</v>
      </c>
    </row>
    <row r="128" spans="3:14" customFormat="1" x14ac:dyDescent="0.3">
      <c r="C128" s="51">
        <v>45565</v>
      </c>
      <c r="D128" s="3" t="s">
        <v>37</v>
      </c>
      <c r="E128" s="3">
        <v>344637</v>
      </c>
      <c r="F128" s="58">
        <v>344637</v>
      </c>
      <c r="G128" s="3">
        <v>0</v>
      </c>
      <c r="H128" s="3">
        <v>0</v>
      </c>
      <c r="I128" s="3">
        <v>0</v>
      </c>
      <c r="J128" s="3">
        <v>0</v>
      </c>
    </row>
    <row r="129" spans="3:14" customFormat="1" x14ac:dyDescent="0.3"/>
    <row r="130" spans="3:14" customFormat="1" x14ac:dyDescent="0.3">
      <c r="C130" s="56" t="s">
        <v>1332</v>
      </c>
    </row>
    <row r="131" spans="3:14" customFormat="1" x14ac:dyDescent="0.3">
      <c r="D131" s="57" t="s">
        <v>1333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</row>
    <row r="132" spans="3:14" customFormat="1" x14ac:dyDescent="0.3"/>
    <row r="133" spans="3:14" customFormat="1" x14ac:dyDescent="0.3">
      <c r="C133" s="3" t="s">
        <v>1</v>
      </c>
      <c r="D133" s="3" t="s">
        <v>459</v>
      </c>
      <c r="E133" s="3" t="s">
        <v>3</v>
      </c>
      <c r="F133" s="3" t="s">
        <v>108</v>
      </c>
      <c r="G133" s="3" t="s">
        <v>109</v>
      </c>
      <c r="H133" s="3" t="s">
        <v>110</v>
      </c>
      <c r="I133" s="3" t="s">
        <v>1213</v>
      </c>
      <c r="J133" s="3" t="s">
        <v>1214</v>
      </c>
    </row>
    <row r="134" spans="3:14" customFormat="1" x14ac:dyDescent="0.3">
      <c r="C134" s="51">
        <v>45565</v>
      </c>
      <c r="D134" s="3" t="s">
        <v>37</v>
      </c>
      <c r="E134" s="3">
        <v>344637</v>
      </c>
      <c r="F134" s="58">
        <v>344637</v>
      </c>
      <c r="G134" s="3">
        <v>0</v>
      </c>
      <c r="H134" s="3">
        <v>0</v>
      </c>
      <c r="I134" s="3">
        <v>0</v>
      </c>
      <c r="J134" s="3">
        <v>0</v>
      </c>
    </row>
    <row r="135" spans="3:14" customFormat="1" x14ac:dyDescent="0.3">
      <c r="C135" s="4"/>
    </row>
    <row r="136" spans="3:14" customFormat="1" x14ac:dyDescent="0.3">
      <c r="C136" s="56" t="s">
        <v>1334</v>
      </c>
    </row>
    <row r="137" spans="3:14" customFormat="1" x14ac:dyDescent="0.3">
      <c r="D137" s="59" t="s">
        <v>1335</v>
      </c>
      <c r="E137" s="60"/>
      <c r="F137" s="60"/>
      <c r="G137" s="60"/>
      <c r="H137" s="60"/>
      <c r="I137" s="60"/>
      <c r="J137" s="60"/>
      <c r="K137" s="60"/>
      <c r="L137" s="60"/>
      <c r="M137" s="60"/>
      <c r="N137" s="60"/>
    </row>
    <row r="138" spans="3:14" customFormat="1" x14ac:dyDescent="0.3"/>
    <row r="139" spans="3:14" customFormat="1" x14ac:dyDescent="0.3">
      <c r="C139" s="3" t="s">
        <v>1</v>
      </c>
      <c r="D139" s="3" t="s">
        <v>459</v>
      </c>
      <c r="E139" s="3" t="s">
        <v>3</v>
      </c>
      <c r="F139" s="3" t="s">
        <v>108</v>
      </c>
      <c r="G139" s="3" t="s">
        <v>109</v>
      </c>
      <c r="H139" s="3" t="s">
        <v>110</v>
      </c>
      <c r="I139" s="3" t="s">
        <v>1213</v>
      </c>
      <c r="J139" s="3" t="s">
        <v>1214</v>
      </c>
    </row>
    <row r="140" spans="3:14" customFormat="1" x14ac:dyDescent="0.3">
      <c r="C140" s="51">
        <v>45565</v>
      </c>
      <c r="D140" s="3" t="s">
        <v>37</v>
      </c>
      <c r="E140" s="3">
        <v>344637</v>
      </c>
      <c r="F140" s="58">
        <v>344637</v>
      </c>
      <c r="G140" s="3">
        <v>0</v>
      </c>
      <c r="H140" s="3">
        <v>0</v>
      </c>
      <c r="I140" s="3">
        <v>0</v>
      </c>
      <c r="J140" s="3">
        <v>0</v>
      </c>
    </row>
    <row r="141" spans="3:14" customFormat="1" x14ac:dyDescent="0.3">
      <c r="C141" s="4"/>
    </row>
    <row r="142" spans="3:14" customFormat="1" x14ac:dyDescent="0.3">
      <c r="C142" s="56" t="s">
        <v>1336</v>
      </c>
    </row>
    <row r="143" spans="3:14" customFormat="1" x14ac:dyDescent="0.3">
      <c r="D143" s="52" t="s">
        <v>1337</v>
      </c>
      <c r="E143" s="61"/>
      <c r="F143" s="61"/>
      <c r="G143" s="61"/>
      <c r="H143" s="61"/>
      <c r="I143" s="61"/>
      <c r="J143" s="61"/>
      <c r="K143" s="61"/>
      <c r="L143" s="61"/>
      <c r="M143" s="61"/>
      <c r="N143" s="61"/>
    </row>
    <row r="144" spans="3:14" customFormat="1" x14ac:dyDescent="0.3"/>
    <row r="145" spans="3:14" customFormat="1" x14ac:dyDescent="0.3">
      <c r="C145" s="3" t="s">
        <v>1</v>
      </c>
      <c r="D145" s="3" t="s">
        <v>459</v>
      </c>
      <c r="E145" s="3" t="s">
        <v>3</v>
      </c>
      <c r="F145" s="3" t="s">
        <v>108</v>
      </c>
      <c r="G145" s="3" t="s">
        <v>109</v>
      </c>
      <c r="H145" s="3" t="s">
        <v>110</v>
      </c>
      <c r="I145" s="3" t="s">
        <v>1213</v>
      </c>
      <c r="J145" s="3" t="s">
        <v>1214</v>
      </c>
    </row>
    <row r="146" spans="3:14" customFormat="1" x14ac:dyDescent="0.3">
      <c r="C146" s="51">
        <v>45565</v>
      </c>
      <c r="D146" s="3" t="s">
        <v>37</v>
      </c>
      <c r="E146" s="3">
        <v>344637</v>
      </c>
      <c r="F146" s="58">
        <v>344637</v>
      </c>
      <c r="G146" s="3">
        <v>0</v>
      </c>
      <c r="H146" s="3">
        <v>0</v>
      </c>
      <c r="I146" s="3">
        <v>0</v>
      </c>
      <c r="J146" s="3">
        <v>0</v>
      </c>
    </row>
    <row r="147" spans="3:14" customFormat="1" x14ac:dyDescent="0.3"/>
    <row r="148" spans="3:14" customFormat="1" x14ac:dyDescent="0.3">
      <c r="C148" s="56" t="s">
        <v>1338</v>
      </c>
    </row>
    <row r="149" spans="3:14" customFormat="1" x14ac:dyDescent="0.3">
      <c r="D149" s="57" t="s">
        <v>1339</v>
      </c>
      <c r="E149" s="57"/>
      <c r="F149" s="57"/>
      <c r="G149" s="57"/>
      <c r="H149" s="57"/>
      <c r="I149" s="57"/>
      <c r="J149" s="57"/>
      <c r="K149" s="57"/>
      <c r="L149" s="57"/>
      <c r="M149" s="57"/>
      <c r="N149" s="57"/>
    </row>
    <row r="150" spans="3:14" customFormat="1" x14ac:dyDescent="0.3"/>
    <row r="151" spans="3:14" customFormat="1" x14ac:dyDescent="0.3">
      <c r="C151" s="3" t="s">
        <v>1</v>
      </c>
      <c r="D151" s="3" t="s">
        <v>459</v>
      </c>
      <c r="E151" s="3" t="s">
        <v>3</v>
      </c>
      <c r="F151" s="3" t="s">
        <v>108</v>
      </c>
      <c r="G151" s="3" t="s">
        <v>109</v>
      </c>
      <c r="H151" s="3" t="s">
        <v>110</v>
      </c>
      <c r="I151" s="3" t="s">
        <v>1213</v>
      </c>
      <c r="J151" s="3" t="s">
        <v>1214</v>
      </c>
    </row>
    <row r="152" spans="3:14" customFormat="1" x14ac:dyDescent="0.3">
      <c r="C152" s="51">
        <v>45565</v>
      </c>
      <c r="D152" s="3" t="s">
        <v>37</v>
      </c>
      <c r="E152" s="3">
        <v>344637</v>
      </c>
      <c r="F152" s="58">
        <v>344637</v>
      </c>
      <c r="G152" s="3">
        <v>0</v>
      </c>
      <c r="H152" s="3">
        <v>0</v>
      </c>
      <c r="I152" s="3">
        <v>0</v>
      </c>
      <c r="J152" s="3">
        <v>0</v>
      </c>
    </row>
    <row r="153" spans="3:14" customFormat="1" x14ac:dyDescent="0.3">
      <c r="C153" s="4"/>
    </row>
    <row r="154" spans="3:14" customFormat="1" x14ac:dyDescent="0.3">
      <c r="C154" s="56" t="s">
        <v>1340</v>
      </c>
    </row>
    <row r="155" spans="3:14" customFormat="1" x14ac:dyDescent="0.3">
      <c r="D155" s="59" t="s">
        <v>1341</v>
      </c>
      <c r="E155" s="60"/>
      <c r="F155" s="60"/>
      <c r="G155" s="60"/>
      <c r="H155" s="60"/>
      <c r="I155" s="60"/>
      <c r="J155" s="60"/>
      <c r="K155" s="60"/>
      <c r="L155" s="60"/>
      <c r="M155" s="60"/>
      <c r="N155" s="60"/>
    </row>
    <row r="156" spans="3:14" customFormat="1" x14ac:dyDescent="0.3"/>
    <row r="157" spans="3:14" customFormat="1" x14ac:dyDescent="0.3">
      <c r="C157" s="3" t="s">
        <v>1</v>
      </c>
      <c r="D157" s="3" t="s">
        <v>459</v>
      </c>
      <c r="E157" s="3" t="s">
        <v>3</v>
      </c>
      <c r="F157" s="3" t="s">
        <v>108</v>
      </c>
      <c r="G157" s="3" t="s">
        <v>109</v>
      </c>
      <c r="H157" s="3" t="s">
        <v>110</v>
      </c>
      <c r="I157" s="3" t="s">
        <v>1213</v>
      </c>
      <c r="J157" s="3" t="s">
        <v>1214</v>
      </c>
    </row>
    <row r="158" spans="3:14" customFormat="1" x14ac:dyDescent="0.3">
      <c r="C158" s="51">
        <v>45565</v>
      </c>
      <c r="D158" s="3" t="s">
        <v>37</v>
      </c>
      <c r="E158" s="3">
        <v>344637</v>
      </c>
      <c r="F158" s="58">
        <v>344637</v>
      </c>
      <c r="G158" s="3">
        <v>0</v>
      </c>
      <c r="H158" s="3">
        <v>0</v>
      </c>
      <c r="I158" s="3">
        <v>0</v>
      </c>
      <c r="J158" s="3">
        <v>0</v>
      </c>
    </row>
    <row r="159" spans="3:14" customFormat="1" x14ac:dyDescent="0.3">
      <c r="C159" s="4"/>
    </row>
    <row r="160" spans="3:14" customFormat="1" x14ac:dyDescent="0.3">
      <c r="C160" s="56" t="s">
        <v>1342</v>
      </c>
    </row>
    <row r="161" spans="3:14" customFormat="1" x14ac:dyDescent="0.3">
      <c r="D161" s="52" t="s">
        <v>1343</v>
      </c>
      <c r="E161" s="61"/>
      <c r="F161" s="61"/>
      <c r="G161" s="61"/>
      <c r="H161" s="61"/>
      <c r="I161" s="61"/>
      <c r="J161" s="61"/>
      <c r="K161" s="61"/>
      <c r="L161" s="61"/>
      <c r="M161" s="61"/>
      <c r="N161" s="61"/>
    </row>
    <row r="162" spans="3:14" customFormat="1" x14ac:dyDescent="0.3"/>
    <row r="163" spans="3:14" customFormat="1" x14ac:dyDescent="0.3">
      <c r="C163" s="3" t="s">
        <v>1</v>
      </c>
      <c r="D163" s="3" t="s">
        <v>459</v>
      </c>
      <c r="E163" s="3" t="s">
        <v>3</v>
      </c>
      <c r="F163" s="3" t="s">
        <v>108</v>
      </c>
      <c r="G163" s="3" t="s">
        <v>109</v>
      </c>
      <c r="H163" s="3" t="s">
        <v>110</v>
      </c>
      <c r="I163" s="3" t="s">
        <v>1213</v>
      </c>
      <c r="J163" s="3" t="s">
        <v>1214</v>
      </c>
    </row>
    <row r="164" spans="3:14" customFormat="1" x14ac:dyDescent="0.3">
      <c r="C164" s="51">
        <v>45565</v>
      </c>
      <c r="D164" s="3" t="s">
        <v>37</v>
      </c>
      <c r="E164" s="3">
        <v>344637</v>
      </c>
      <c r="F164" s="58">
        <v>344637</v>
      </c>
      <c r="G164" s="3">
        <v>0</v>
      </c>
      <c r="H164" s="3">
        <v>0</v>
      </c>
      <c r="I164" s="3">
        <v>0</v>
      </c>
      <c r="J164" s="3">
        <v>0</v>
      </c>
    </row>
    <row r="165" spans="3:14" customFormat="1" x14ac:dyDescent="0.3"/>
    <row r="166" spans="3:14" customFormat="1" x14ac:dyDescent="0.3">
      <c r="C166" s="56" t="s">
        <v>1344</v>
      </c>
    </row>
    <row r="167" spans="3:14" customFormat="1" x14ac:dyDescent="0.3">
      <c r="D167" s="57" t="s">
        <v>1345</v>
      </c>
      <c r="E167" s="57"/>
      <c r="F167" s="57"/>
      <c r="G167" s="57"/>
      <c r="H167" s="57"/>
      <c r="I167" s="57"/>
      <c r="J167" s="57"/>
      <c r="K167" s="57"/>
      <c r="L167" s="57"/>
      <c r="M167" s="57"/>
      <c r="N167" s="57"/>
    </row>
    <row r="168" spans="3:14" customFormat="1" x14ac:dyDescent="0.3"/>
    <row r="169" spans="3:14" customFormat="1" x14ac:dyDescent="0.3">
      <c r="C169" s="3" t="s">
        <v>1</v>
      </c>
      <c r="D169" s="3" t="s">
        <v>459</v>
      </c>
      <c r="E169" s="3" t="s">
        <v>3</v>
      </c>
      <c r="F169" s="3" t="s">
        <v>108</v>
      </c>
      <c r="G169" s="3" t="s">
        <v>109</v>
      </c>
      <c r="H169" s="3" t="s">
        <v>110</v>
      </c>
      <c r="I169" s="3" t="s">
        <v>1213</v>
      </c>
      <c r="J169" s="3" t="s">
        <v>1214</v>
      </c>
    </row>
    <row r="170" spans="3:14" customFormat="1" x14ac:dyDescent="0.3">
      <c r="C170" s="51">
        <v>45565</v>
      </c>
      <c r="D170" s="3" t="s">
        <v>37</v>
      </c>
      <c r="E170" s="3">
        <v>344637</v>
      </c>
      <c r="F170" s="58">
        <v>344637</v>
      </c>
      <c r="G170" s="3">
        <v>0</v>
      </c>
      <c r="H170" s="3">
        <v>0</v>
      </c>
      <c r="I170" s="3">
        <v>0</v>
      </c>
      <c r="J170" s="3">
        <v>0</v>
      </c>
    </row>
    <row r="171" spans="3:14" customFormat="1" x14ac:dyDescent="0.3">
      <c r="C171" s="4"/>
    </row>
    <row r="172" spans="3:14" customFormat="1" x14ac:dyDescent="0.3">
      <c r="C172" s="56" t="s">
        <v>1346</v>
      </c>
    </row>
    <row r="173" spans="3:14" customFormat="1" x14ac:dyDescent="0.3">
      <c r="D173" s="59" t="s">
        <v>1347</v>
      </c>
      <c r="E173" s="60"/>
      <c r="F173" s="60"/>
      <c r="G173" s="60"/>
      <c r="H173" s="60"/>
      <c r="I173" s="60"/>
      <c r="J173" s="60"/>
      <c r="K173" s="60"/>
      <c r="L173" s="60"/>
      <c r="M173" s="60"/>
      <c r="N173" s="60"/>
    </row>
    <row r="174" spans="3:14" customFormat="1" x14ac:dyDescent="0.3"/>
    <row r="175" spans="3:14" customFormat="1" x14ac:dyDescent="0.3">
      <c r="C175" s="3" t="s">
        <v>1</v>
      </c>
      <c r="D175" s="3" t="s">
        <v>459</v>
      </c>
      <c r="E175" s="3" t="s">
        <v>3</v>
      </c>
      <c r="F175" s="3" t="s">
        <v>108</v>
      </c>
      <c r="G175" s="3" t="s">
        <v>109</v>
      </c>
      <c r="H175" s="3" t="s">
        <v>110</v>
      </c>
      <c r="I175" s="3" t="s">
        <v>1213</v>
      </c>
      <c r="J175" s="3" t="s">
        <v>1214</v>
      </c>
    </row>
    <row r="176" spans="3:14" customFormat="1" x14ac:dyDescent="0.3">
      <c r="C176" s="51">
        <v>45565</v>
      </c>
      <c r="D176" s="3" t="s">
        <v>37</v>
      </c>
      <c r="E176" s="3">
        <v>344637</v>
      </c>
      <c r="F176" s="58">
        <v>344637</v>
      </c>
      <c r="G176" s="3">
        <v>0</v>
      </c>
      <c r="H176" s="3">
        <v>0</v>
      </c>
      <c r="I176" s="3">
        <v>0</v>
      </c>
      <c r="J176" s="3">
        <v>0</v>
      </c>
    </row>
    <row r="177" spans="3:14" customFormat="1" x14ac:dyDescent="0.3">
      <c r="C177" s="4"/>
    </row>
    <row r="178" spans="3:14" customFormat="1" x14ac:dyDescent="0.3">
      <c r="C178" s="56" t="s">
        <v>1348</v>
      </c>
    </row>
    <row r="179" spans="3:14" customFormat="1" x14ac:dyDescent="0.3">
      <c r="D179" s="52" t="s">
        <v>1349</v>
      </c>
      <c r="E179" s="61"/>
      <c r="F179" s="61"/>
      <c r="G179" s="61"/>
      <c r="H179" s="61"/>
      <c r="I179" s="61"/>
      <c r="J179" s="61"/>
      <c r="K179" s="61"/>
      <c r="L179" s="61"/>
      <c r="M179" s="61"/>
      <c r="N179" s="61"/>
    </row>
    <row r="180" spans="3:14" customFormat="1" x14ac:dyDescent="0.3"/>
    <row r="181" spans="3:14" customFormat="1" x14ac:dyDescent="0.3">
      <c r="C181" s="3" t="s">
        <v>1</v>
      </c>
      <c r="D181" s="3" t="s">
        <v>459</v>
      </c>
      <c r="E181" s="3" t="s">
        <v>3</v>
      </c>
      <c r="F181" s="3" t="s">
        <v>108</v>
      </c>
      <c r="G181" s="3" t="s">
        <v>109</v>
      </c>
      <c r="H181" s="3" t="s">
        <v>110</v>
      </c>
      <c r="I181" s="3" t="s">
        <v>1213</v>
      </c>
      <c r="J181" s="3" t="s">
        <v>1214</v>
      </c>
    </row>
    <row r="182" spans="3:14" customFormat="1" x14ac:dyDescent="0.3">
      <c r="C182" s="51">
        <v>45565</v>
      </c>
      <c r="D182" s="3" t="s">
        <v>37</v>
      </c>
      <c r="E182" s="3">
        <v>344637</v>
      </c>
      <c r="F182" s="58">
        <v>344637</v>
      </c>
      <c r="G182" s="3">
        <v>0</v>
      </c>
      <c r="H182" s="3">
        <v>0</v>
      </c>
      <c r="I182" s="3">
        <v>0</v>
      </c>
      <c r="J182" s="3">
        <v>0</v>
      </c>
    </row>
    <row r="183" spans="3:14" customFormat="1" x14ac:dyDescent="0.3">
      <c r="C183" s="4"/>
    </row>
    <row r="184" spans="3:14" customFormat="1" x14ac:dyDescent="0.3">
      <c r="C184" s="56" t="s">
        <v>1350</v>
      </c>
    </row>
    <row r="185" spans="3:14" customFormat="1" x14ac:dyDescent="0.3">
      <c r="D185" s="52" t="s">
        <v>1351</v>
      </c>
      <c r="E185" s="61"/>
      <c r="F185" s="61"/>
      <c r="G185" s="61"/>
      <c r="H185" s="61"/>
      <c r="I185" s="61"/>
      <c r="J185" s="61"/>
      <c r="K185" s="61"/>
      <c r="L185" s="61"/>
      <c r="M185" s="61"/>
      <c r="N185" s="61"/>
    </row>
    <row r="186" spans="3:14" customFormat="1" x14ac:dyDescent="0.3"/>
    <row r="187" spans="3:14" customFormat="1" x14ac:dyDescent="0.3">
      <c r="C187" s="3" t="s">
        <v>1</v>
      </c>
      <c r="D187" s="3" t="s">
        <v>459</v>
      </c>
      <c r="E187" s="3" t="s">
        <v>3</v>
      </c>
      <c r="F187" s="3" t="s">
        <v>108</v>
      </c>
      <c r="G187" s="3" t="s">
        <v>109</v>
      </c>
      <c r="H187" s="3" t="s">
        <v>110</v>
      </c>
      <c r="I187" s="3" t="s">
        <v>1213</v>
      </c>
      <c r="J187" s="3" t="s">
        <v>1214</v>
      </c>
    </row>
    <row r="188" spans="3:14" customFormat="1" x14ac:dyDescent="0.3">
      <c r="C188" s="51">
        <v>45565</v>
      </c>
      <c r="D188" s="3" t="s">
        <v>37</v>
      </c>
      <c r="E188" s="3">
        <v>344637</v>
      </c>
      <c r="F188" s="58">
        <v>344637</v>
      </c>
      <c r="G188" s="3">
        <v>0</v>
      </c>
      <c r="H188" s="3">
        <v>0</v>
      </c>
      <c r="I188" s="3">
        <v>0</v>
      </c>
      <c r="J188" s="3">
        <v>0</v>
      </c>
    </row>
    <row r="189" spans="3:14" customFormat="1" ht="14.4" customHeight="1" x14ac:dyDescent="0.3"/>
    <row r="190" spans="3:14" customFormat="1" x14ac:dyDescent="0.3">
      <c r="C190" s="56" t="s">
        <v>1352</v>
      </c>
    </row>
    <row r="191" spans="3:14" customFormat="1" x14ac:dyDescent="0.3">
      <c r="D191" s="57" t="s">
        <v>1353</v>
      </c>
      <c r="E191" s="57"/>
      <c r="F191" s="57"/>
      <c r="G191" s="57"/>
      <c r="H191" s="57"/>
      <c r="I191" s="57"/>
      <c r="J191" s="57"/>
      <c r="K191" s="57"/>
      <c r="L191" s="57"/>
      <c r="M191" s="57"/>
      <c r="N191" s="57"/>
    </row>
    <row r="192" spans="3:14" customFormat="1" x14ac:dyDescent="0.3"/>
    <row r="193" spans="3:14" customFormat="1" x14ac:dyDescent="0.3">
      <c r="C193" s="3" t="s">
        <v>1</v>
      </c>
      <c r="D193" s="3" t="s">
        <v>459</v>
      </c>
      <c r="E193" s="3" t="s">
        <v>3</v>
      </c>
      <c r="F193" s="3" t="s">
        <v>108</v>
      </c>
      <c r="G193" s="3" t="s">
        <v>109</v>
      </c>
      <c r="H193" s="3" t="s">
        <v>110</v>
      </c>
      <c r="I193" s="3" t="s">
        <v>1213</v>
      </c>
      <c r="J193" s="3" t="s">
        <v>1214</v>
      </c>
    </row>
    <row r="194" spans="3:14" customFormat="1" x14ac:dyDescent="0.3">
      <c r="C194" s="51">
        <v>45565</v>
      </c>
      <c r="D194" s="3" t="s">
        <v>37</v>
      </c>
      <c r="E194" s="3">
        <v>344637</v>
      </c>
      <c r="F194" s="58">
        <v>344637</v>
      </c>
      <c r="G194" s="3">
        <v>0</v>
      </c>
      <c r="H194" s="3">
        <v>0</v>
      </c>
      <c r="I194" s="3">
        <v>0</v>
      </c>
      <c r="J194" s="3">
        <v>0</v>
      </c>
    </row>
    <row r="195" spans="3:14" customFormat="1" x14ac:dyDescent="0.3">
      <c r="C195" s="4"/>
    </row>
    <row r="196" spans="3:14" customFormat="1" x14ac:dyDescent="0.3">
      <c r="C196" s="56" t="s">
        <v>1354</v>
      </c>
    </row>
    <row r="197" spans="3:14" customFormat="1" x14ac:dyDescent="0.3">
      <c r="D197" s="59" t="s">
        <v>1355</v>
      </c>
      <c r="E197" s="60"/>
      <c r="F197" s="60"/>
      <c r="G197" s="60"/>
      <c r="H197" s="60"/>
      <c r="I197" s="60"/>
      <c r="J197" s="60"/>
      <c r="K197" s="60"/>
      <c r="L197" s="60"/>
      <c r="M197" s="60"/>
      <c r="N197" s="60"/>
    </row>
    <row r="198" spans="3:14" customFormat="1" x14ac:dyDescent="0.3"/>
    <row r="199" spans="3:14" customFormat="1" x14ac:dyDescent="0.3">
      <c r="C199" s="3" t="s">
        <v>1</v>
      </c>
      <c r="D199" s="3" t="s">
        <v>459</v>
      </c>
      <c r="E199" s="3" t="s">
        <v>3</v>
      </c>
      <c r="F199" s="3" t="s">
        <v>108</v>
      </c>
      <c r="G199" s="3" t="s">
        <v>109</v>
      </c>
      <c r="H199" s="3" t="s">
        <v>110</v>
      </c>
      <c r="I199" s="3" t="s">
        <v>1213</v>
      </c>
      <c r="J199" s="3" t="s">
        <v>1214</v>
      </c>
    </row>
    <row r="200" spans="3:14" customFormat="1" x14ac:dyDescent="0.3">
      <c r="C200" s="51">
        <v>45565</v>
      </c>
      <c r="D200" s="3" t="s">
        <v>37</v>
      </c>
      <c r="E200" s="3">
        <v>344637</v>
      </c>
      <c r="F200" s="58">
        <v>344637</v>
      </c>
      <c r="G200" s="3">
        <v>0</v>
      </c>
      <c r="H200" s="3">
        <v>0</v>
      </c>
      <c r="I200" s="3">
        <v>0</v>
      </c>
      <c r="J200" s="3">
        <v>0</v>
      </c>
    </row>
    <row r="201" spans="3:14" customFormat="1" x14ac:dyDescent="0.3">
      <c r="C201" s="4"/>
    </row>
    <row r="202" spans="3:14" customFormat="1" x14ac:dyDescent="0.3">
      <c r="C202" s="56" t="s">
        <v>1356</v>
      </c>
    </row>
    <row r="203" spans="3:14" customFormat="1" x14ac:dyDescent="0.3">
      <c r="D203" s="52" t="s">
        <v>1357</v>
      </c>
      <c r="E203" s="61"/>
      <c r="F203" s="61"/>
      <c r="G203" s="61"/>
      <c r="H203" s="61"/>
      <c r="I203" s="61"/>
      <c r="J203" s="61"/>
      <c r="K203" s="61"/>
      <c r="L203" s="61"/>
      <c r="M203" s="61"/>
      <c r="N203" s="61"/>
    </row>
    <row r="204" spans="3:14" customFormat="1" x14ac:dyDescent="0.3"/>
    <row r="205" spans="3:14" customFormat="1" x14ac:dyDescent="0.3">
      <c r="C205" s="3" t="s">
        <v>1</v>
      </c>
      <c r="D205" s="3" t="s">
        <v>459</v>
      </c>
      <c r="E205" s="3" t="s">
        <v>3</v>
      </c>
      <c r="F205" s="3" t="s">
        <v>108</v>
      </c>
      <c r="G205" s="3" t="s">
        <v>109</v>
      </c>
      <c r="H205" s="3" t="s">
        <v>110</v>
      </c>
      <c r="I205" s="3" t="s">
        <v>1213</v>
      </c>
      <c r="J205" s="3" t="s">
        <v>1214</v>
      </c>
    </row>
    <row r="206" spans="3:14" customFormat="1" x14ac:dyDescent="0.3">
      <c r="C206" s="51">
        <v>45565</v>
      </c>
      <c r="D206" s="3" t="s">
        <v>37</v>
      </c>
      <c r="E206" s="3">
        <v>344637</v>
      </c>
      <c r="F206" s="58">
        <v>344637</v>
      </c>
      <c r="G206" s="3">
        <v>0</v>
      </c>
      <c r="H206" s="3">
        <v>0</v>
      </c>
      <c r="I206" s="3">
        <v>0</v>
      </c>
      <c r="J206" s="3">
        <v>0</v>
      </c>
    </row>
    <row r="207" spans="3:14" customFormat="1" x14ac:dyDescent="0.3">
      <c r="C207" s="4"/>
    </row>
    <row r="208" spans="3:14" customFormat="1" x14ac:dyDescent="0.3">
      <c r="C208" s="56" t="s">
        <v>1358</v>
      </c>
    </row>
    <row r="209" spans="3:14" customFormat="1" x14ac:dyDescent="0.3">
      <c r="D209" s="52" t="s">
        <v>1359</v>
      </c>
      <c r="E209" s="61"/>
      <c r="F209" s="61"/>
      <c r="G209" s="61"/>
      <c r="H209" s="61"/>
      <c r="I209" s="61"/>
      <c r="J209" s="61"/>
      <c r="K209" s="61"/>
      <c r="L209" s="61"/>
      <c r="M209" s="61"/>
      <c r="N209" s="61"/>
    </row>
    <row r="210" spans="3:14" customFormat="1" x14ac:dyDescent="0.3"/>
    <row r="211" spans="3:14" customFormat="1" x14ac:dyDescent="0.3">
      <c r="C211" s="3" t="s">
        <v>1</v>
      </c>
      <c r="D211" s="3" t="s">
        <v>459</v>
      </c>
      <c r="E211" s="3" t="s">
        <v>3</v>
      </c>
      <c r="F211" s="3" t="s">
        <v>108</v>
      </c>
      <c r="G211" s="3" t="s">
        <v>109</v>
      </c>
      <c r="H211" s="3" t="s">
        <v>110</v>
      </c>
      <c r="I211" s="3" t="s">
        <v>1213</v>
      </c>
      <c r="J211" s="3" t="s">
        <v>1214</v>
      </c>
    </row>
    <row r="212" spans="3:14" customFormat="1" x14ac:dyDescent="0.3">
      <c r="C212" s="51">
        <v>45565</v>
      </c>
      <c r="D212" s="3" t="s">
        <v>37</v>
      </c>
      <c r="E212" s="3">
        <v>344637</v>
      </c>
      <c r="F212" s="58">
        <v>344637</v>
      </c>
      <c r="G212" s="3">
        <v>0</v>
      </c>
      <c r="H212" s="3">
        <v>0</v>
      </c>
      <c r="I212" s="3">
        <v>0</v>
      </c>
      <c r="J212" s="3">
        <v>0</v>
      </c>
    </row>
    <row r="213" spans="3:14" customFormat="1" x14ac:dyDescent="0.3"/>
    <row r="214" spans="3:14" customFormat="1" x14ac:dyDescent="0.3">
      <c r="C214" s="56" t="s">
        <v>1360</v>
      </c>
    </row>
    <row r="215" spans="3:14" customFormat="1" x14ac:dyDescent="0.3">
      <c r="D215" s="59" t="s">
        <v>1361</v>
      </c>
      <c r="E215" s="60"/>
      <c r="F215" s="60"/>
      <c r="G215" s="60"/>
      <c r="H215" s="60"/>
      <c r="I215" s="60"/>
      <c r="J215" s="60"/>
      <c r="K215" s="60"/>
      <c r="L215" s="60"/>
      <c r="M215" s="60"/>
      <c r="N215" s="60"/>
    </row>
    <row r="216" spans="3:14" customFormat="1" x14ac:dyDescent="0.3"/>
    <row r="217" spans="3:14" customFormat="1" x14ac:dyDescent="0.3">
      <c r="C217" s="3" t="s">
        <v>1</v>
      </c>
      <c r="D217" s="3" t="s">
        <v>459</v>
      </c>
      <c r="E217" s="3" t="s">
        <v>3</v>
      </c>
      <c r="F217" s="3" t="s">
        <v>108</v>
      </c>
      <c r="G217" s="3" t="s">
        <v>109</v>
      </c>
      <c r="H217" s="3" t="s">
        <v>110</v>
      </c>
      <c r="I217" s="3" t="s">
        <v>1213</v>
      </c>
      <c r="J217" s="3" t="s">
        <v>1214</v>
      </c>
    </row>
    <row r="218" spans="3:14" customFormat="1" x14ac:dyDescent="0.3">
      <c r="C218" s="51">
        <v>45565</v>
      </c>
      <c r="D218" s="3" t="s">
        <v>37</v>
      </c>
      <c r="E218" s="3">
        <v>344637</v>
      </c>
      <c r="F218" s="58">
        <v>344637</v>
      </c>
      <c r="G218" s="3">
        <v>0</v>
      </c>
      <c r="H218" s="3">
        <v>0</v>
      </c>
      <c r="I218" s="3">
        <v>0</v>
      </c>
      <c r="J218" s="3">
        <v>0</v>
      </c>
    </row>
    <row r="219" spans="3:14" customFormat="1" x14ac:dyDescent="0.3">
      <c r="C219" s="4"/>
    </row>
    <row r="220" spans="3:14" customFormat="1" x14ac:dyDescent="0.3">
      <c r="C220" s="56" t="s">
        <v>1362</v>
      </c>
    </row>
    <row r="221" spans="3:14" customFormat="1" x14ac:dyDescent="0.3">
      <c r="D221" s="52" t="s">
        <v>1363</v>
      </c>
      <c r="E221" s="61"/>
      <c r="F221" s="61"/>
      <c r="G221" s="61"/>
      <c r="H221" s="61"/>
      <c r="I221" s="61"/>
      <c r="J221" s="61"/>
      <c r="K221" s="61"/>
      <c r="L221" s="61"/>
      <c r="M221" s="61"/>
      <c r="N221" s="61"/>
    </row>
    <row r="222" spans="3:14" customFormat="1" x14ac:dyDescent="0.3"/>
    <row r="223" spans="3:14" customFormat="1" x14ac:dyDescent="0.3">
      <c r="C223" s="3" t="s">
        <v>1</v>
      </c>
      <c r="D223" s="3" t="s">
        <v>459</v>
      </c>
      <c r="E223" s="3" t="s">
        <v>3</v>
      </c>
      <c r="F223" s="3" t="s">
        <v>108</v>
      </c>
      <c r="G223" s="3" t="s">
        <v>109</v>
      </c>
      <c r="H223" s="3" t="s">
        <v>110</v>
      </c>
      <c r="I223" s="3" t="s">
        <v>1213</v>
      </c>
      <c r="J223" s="3" t="s">
        <v>1214</v>
      </c>
    </row>
    <row r="224" spans="3:14" customFormat="1" x14ac:dyDescent="0.3">
      <c r="C224" s="51">
        <v>45565</v>
      </c>
      <c r="D224" s="3" t="s">
        <v>37</v>
      </c>
      <c r="E224" s="3">
        <v>344637</v>
      </c>
      <c r="F224" s="58">
        <v>344637</v>
      </c>
      <c r="G224" s="3">
        <v>0</v>
      </c>
      <c r="H224" s="3">
        <v>0</v>
      </c>
      <c r="I224" s="3">
        <v>0</v>
      </c>
      <c r="J224" s="3">
        <v>0</v>
      </c>
    </row>
    <row r="225" spans="3:14" customFormat="1" x14ac:dyDescent="0.3">
      <c r="C225" s="4"/>
    </row>
    <row r="226" spans="3:14" customFormat="1" x14ac:dyDescent="0.3">
      <c r="C226" s="56" t="s">
        <v>1364</v>
      </c>
    </row>
    <row r="227" spans="3:14" customFormat="1" x14ac:dyDescent="0.3">
      <c r="D227" s="52" t="s">
        <v>1365</v>
      </c>
      <c r="E227" s="61"/>
      <c r="F227" s="61"/>
      <c r="G227" s="61"/>
      <c r="H227" s="61"/>
      <c r="I227" s="61"/>
      <c r="J227" s="61"/>
      <c r="K227" s="61"/>
      <c r="L227" s="61"/>
      <c r="M227" s="61"/>
      <c r="N227" s="61"/>
    </row>
    <row r="228" spans="3:14" customFormat="1" x14ac:dyDescent="0.3"/>
    <row r="229" spans="3:14" customFormat="1" x14ac:dyDescent="0.3">
      <c r="C229" s="3" t="s">
        <v>1</v>
      </c>
      <c r="D229" s="3" t="s">
        <v>459</v>
      </c>
      <c r="E229" s="3" t="s">
        <v>3</v>
      </c>
      <c r="F229" s="3" t="s">
        <v>108</v>
      </c>
      <c r="G229" s="3" t="s">
        <v>109</v>
      </c>
      <c r="H229" s="3" t="s">
        <v>110</v>
      </c>
      <c r="I229" s="3" t="s">
        <v>1213</v>
      </c>
      <c r="J229" s="3" t="s">
        <v>1214</v>
      </c>
    </row>
    <row r="230" spans="3:14" customFormat="1" x14ac:dyDescent="0.3">
      <c r="C230" s="51">
        <v>45565</v>
      </c>
      <c r="D230" s="3" t="s">
        <v>37</v>
      </c>
      <c r="E230" s="3">
        <v>344637</v>
      </c>
      <c r="F230" s="58">
        <v>344515</v>
      </c>
      <c r="G230" s="5">
        <v>122</v>
      </c>
      <c r="H230" s="3">
        <v>0</v>
      </c>
      <c r="I230" s="3">
        <v>0</v>
      </c>
      <c r="J230" s="3">
        <v>0</v>
      </c>
    </row>
    <row r="231" spans="3:14" customFormat="1" ht="14.4" customHeight="1" x14ac:dyDescent="0.3"/>
    <row r="232" spans="3:14" customFormat="1" x14ac:dyDescent="0.3">
      <c r="C232" s="56" t="s">
        <v>1366</v>
      </c>
    </row>
    <row r="233" spans="3:14" customFormat="1" x14ac:dyDescent="0.3">
      <c r="D233" s="57" t="s">
        <v>1367</v>
      </c>
      <c r="E233" s="57"/>
      <c r="F233" s="57"/>
      <c r="G233" s="57"/>
      <c r="H233" s="57"/>
      <c r="I233" s="57"/>
      <c r="J233" s="57"/>
      <c r="K233" s="57"/>
      <c r="L233" s="57"/>
      <c r="M233" s="57"/>
      <c r="N233" s="57"/>
    </row>
    <row r="234" spans="3:14" customFormat="1" x14ac:dyDescent="0.3"/>
    <row r="235" spans="3:14" customFormat="1" x14ac:dyDescent="0.3">
      <c r="C235" s="3" t="s">
        <v>1</v>
      </c>
      <c r="D235" s="3" t="s">
        <v>459</v>
      </c>
      <c r="E235" s="3" t="s">
        <v>3</v>
      </c>
      <c r="F235" s="3" t="s">
        <v>108</v>
      </c>
      <c r="G235" s="3" t="s">
        <v>109</v>
      </c>
      <c r="H235" s="3" t="s">
        <v>110</v>
      </c>
      <c r="I235" s="3" t="s">
        <v>1213</v>
      </c>
      <c r="J235" s="3" t="s">
        <v>1214</v>
      </c>
    </row>
    <row r="236" spans="3:14" customFormat="1" x14ac:dyDescent="0.3">
      <c r="C236" s="51">
        <v>45565</v>
      </c>
      <c r="D236" s="3" t="s">
        <v>37</v>
      </c>
      <c r="E236" s="3">
        <v>344637</v>
      </c>
      <c r="F236" s="58">
        <v>344637</v>
      </c>
      <c r="G236" s="3">
        <v>0</v>
      </c>
      <c r="H236" s="3">
        <v>0</v>
      </c>
      <c r="I236" s="3">
        <v>0</v>
      </c>
      <c r="J236" s="3">
        <v>0</v>
      </c>
    </row>
    <row r="237" spans="3:14" customFormat="1" x14ac:dyDescent="0.3"/>
    <row r="238" spans="3:14" customFormat="1" x14ac:dyDescent="0.3">
      <c r="C238" s="56" t="s">
        <v>1368</v>
      </c>
    </row>
    <row r="239" spans="3:14" customFormat="1" x14ac:dyDescent="0.3">
      <c r="D239" s="57" t="s">
        <v>1369</v>
      </c>
      <c r="E239" s="57"/>
      <c r="F239" s="57"/>
      <c r="G239" s="57"/>
      <c r="H239" s="57"/>
      <c r="I239" s="57"/>
      <c r="J239" s="57"/>
      <c r="K239" s="57"/>
      <c r="L239" s="57"/>
      <c r="M239" s="57"/>
      <c r="N239" s="57"/>
    </row>
    <row r="240" spans="3:14" customFormat="1" x14ac:dyDescent="0.3"/>
    <row r="241" spans="3:10" customFormat="1" x14ac:dyDescent="0.3">
      <c r="C241" s="3" t="s">
        <v>1</v>
      </c>
      <c r="D241" s="3" t="s">
        <v>459</v>
      </c>
      <c r="E241" s="3" t="s">
        <v>3</v>
      </c>
      <c r="F241" s="3" t="s">
        <v>108</v>
      </c>
      <c r="G241" s="3" t="s">
        <v>109</v>
      </c>
      <c r="H241" s="3" t="s">
        <v>110</v>
      </c>
      <c r="I241" s="3" t="s">
        <v>1213</v>
      </c>
      <c r="J241" s="3" t="s">
        <v>1214</v>
      </c>
    </row>
    <row r="242" spans="3:10" customFormat="1" x14ac:dyDescent="0.3">
      <c r="C242" s="51">
        <v>45565</v>
      </c>
      <c r="D242" s="3" t="s">
        <v>37</v>
      </c>
      <c r="E242" s="3">
        <v>344637</v>
      </c>
      <c r="F242" s="58">
        <v>344637</v>
      </c>
      <c r="G242" s="3">
        <v>0</v>
      </c>
      <c r="H242" s="3">
        <v>0</v>
      </c>
      <c r="I242" s="3">
        <v>0</v>
      </c>
      <c r="J242" s="3">
        <v>0</v>
      </c>
    </row>
    <row r="243" spans="3:10" customFormat="1" x14ac:dyDescent="0.3"/>
    <row r="244" spans="3:10" customFormat="1" x14ac:dyDescent="0.3"/>
    <row r="245" spans="3:10" customFormat="1" x14ac:dyDescent="0.3">
      <c r="D245" s="56" t="s">
        <v>1370</v>
      </c>
    </row>
    <row r="246" spans="3:10" customFormat="1" ht="14.4" customHeight="1" x14ac:dyDescent="0.3">
      <c r="D246" s="4"/>
      <c r="E246" s="63" t="s">
        <v>1371</v>
      </c>
      <c r="F246" s="64"/>
      <c r="G246" s="64"/>
      <c r="H246" s="64"/>
      <c r="I246" s="64"/>
      <c r="J246" s="65"/>
    </row>
    <row r="247" spans="3:10" customFormat="1" ht="14.4" customHeight="1" x14ac:dyDescent="0.3">
      <c r="D247" s="4"/>
    </row>
    <row r="248" spans="3:10" customFormat="1" ht="14.4" customHeight="1" x14ac:dyDescent="0.3">
      <c r="D248" s="51" t="s">
        <v>1</v>
      </c>
      <c r="E248" s="3" t="s">
        <v>459</v>
      </c>
      <c r="F248" s="3" t="s">
        <v>1372</v>
      </c>
      <c r="G248" s="3" t="s">
        <v>1373</v>
      </c>
    </row>
    <row r="249" spans="3:10" customFormat="1" ht="14.4" customHeight="1" x14ac:dyDescent="0.3">
      <c r="D249" s="51">
        <v>45565</v>
      </c>
      <c r="E249" s="3" t="s">
        <v>37</v>
      </c>
      <c r="F249" s="3">
        <v>0.01</v>
      </c>
      <c r="G249" s="3">
        <v>0</v>
      </c>
    </row>
    <row r="250" spans="3:10" customFormat="1" ht="14.4" customHeight="1" x14ac:dyDescent="0.3">
      <c r="D250" s="4"/>
    </row>
    <row r="251" spans="3:10" customFormat="1" x14ac:dyDescent="0.3">
      <c r="D251" s="56" t="s">
        <v>1374</v>
      </c>
    </row>
    <row r="252" spans="3:10" customFormat="1" ht="14.4" customHeight="1" x14ac:dyDescent="0.3">
      <c r="D252" s="4"/>
      <c r="E252" s="63" t="s">
        <v>1375</v>
      </c>
      <c r="F252" s="64"/>
      <c r="G252" s="64"/>
      <c r="H252" s="64"/>
      <c r="I252" s="64"/>
      <c r="J252" s="65"/>
    </row>
    <row r="254" spans="3:10" x14ac:dyDescent="0.3">
      <c r="D254" s="66" t="s">
        <v>1376</v>
      </c>
      <c r="E254" s="66" t="s">
        <v>1364</v>
      </c>
      <c r="F254" s="66" t="s">
        <v>1377</v>
      </c>
      <c r="G254" s="66" t="s">
        <v>1378</v>
      </c>
    </row>
    <row r="255" spans="3:10" x14ac:dyDescent="0.3">
      <c r="D255" s="66" t="s">
        <v>1379</v>
      </c>
      <c r="E255" s="3">
        <v>2310.79</v>
      </c>
      <c r="F255" s="3">
        <v>2310.8000000000002</v>
      </c>
      <c r="G255" s="3">
        <v>-0.01</v>
      </c>
    </row>
    <row r="256" spans="3:10" x14ac:dyDescent="0.3">
      <c r="D256" s="66" t="s">
        <v>1380</v>
      </c>
      <c r="E256" s="3">
        <v>18114.82</v>
      </c>
      <c r="F256" s="3">
        <v>18114.830000000002</v>
      </c>
      <c r="G256" s="3">
        <v>-0.01</v>
      </c>
    </row>
    <row r="257" spans="4:7" x14ac:dyDescent="0.3">
      <c r="D257" s="66" t="s">
        <v>1381</v>
      </c>
      <c r="E257" s="3">
        <v>18114.82</v>
      </c>
      <c r="F257" s="3">
        <v>18114.830000000002</v>
      </c>
      <c r="G257" s="3">
        <v>-0.01</v>
      </c>
    </row>
    <row r="258" spans="4:7" x14ac:dyDescent="0.3">
      <c r="D258" s="66" t="s">
        <v>1382</v>
      </c>
      <c r="E258" s="3">
        <v>2777.48</v>
      </c>
      <c r="F258" s="3">
        <v>2777.49</v>
      </c>
      <c r="G258" s="3">
        <v>-0.01</v>
      </c>
    </row>
    <row r="259" spans="4:7" x14ac:dyDescent="0.3">
      <c r="D259" s="66" t="s">
        <v>1383</v>
      </c>
      <c r="E259" s="3">
        <v>18114.82</v>
      </c>
      <c r="F259" s="3">
        <v>18114.830000000002</v>
      </c>
      <c r="G259" s="3">
        <v>-0.01</v>
      </c>
    </row>
    <row r="260" spans="4:7" x14ac:dyDescent="0.3">
      <c r="D260" s="66" t="s">
        <v>1384</v>
      </c>
      <c r="E260" s="3">
        <v>18114.82</v>
      </c>
      <c r="F260" s="3">
        <v>18114.830000000002</v>
      </c>
      <c r="G260" s="3">
        <v>-0.01</v>
      </c>
    </row>
    <row r="261" spans="4:7" x14ac:dyDescent="0.3">
      <c r="D261" s="66" t="s">
        <v>1385</v>
      </c>
      <c r="E261" s="3">
        <v>18114.82</v>
      </c>
      <c r="F261" s="3">
        <v>18114.830000000002</v>
      </c>
      <c r="G261" s="3">
        <v>-0.01</v>
      </c>
    </row>
    <row r="262" spans="4:7" x14ac:dyDescent="0.3">
      <c r="D262" s="66" t="s">
        <v>1386</v>
      </c>
      <c r="E262" s="3">
        <v>18114.82</v>
      </c>
      <c r="F262" s="3">
        <v>18114.830000000002</v>
      </c>
      <c r="G262" s="3">
        <v>-0.01</v>
      </c>
    </row>
    <row r="263" spans="4:7" x14ac:dyDescent="0.3">
      <c r="D263" s="66" t="s">
        <v>1387</v>
      </c>
      <c r="E263" s="3">
        <v>18114.82</v>
      </c>
      <c r="F263" s="3">
        <v>18114.830000000002</v>
      </c>
      <c r="G263" s="3">
        <v>-0.01</v>
      </c>
    </row>
    <row r="264" spans="4:7" x14ac:dyDescent="0.3">
      <c r="D264" s="66" t="s">
        <v>1388</v>
      </c>
      <c r="E264" s="3">
        <v>2183.36</v>
      </c>
      <c r="F264" s="3">
        <v>2183.37</v>
      </c>
      <c r="G264" s="3">
        <v>-0.01</v>
      </c>
    </row>
    <row r="265" spans="4:7" x14ac:dyDescent="0.3">
      <c r="D265" s="66" t="s">
        <v>1389</v>
      </c>
      <c r="E265" s="3">
        <v>18114.82</v>
      </c>
      <c r="F265" s="3">
        <v>18114.830000000002</v>
      </c>
      <c r="G265" s="3">
        <v>-0.01</v>
      </c>
    </row>
    <row r="266" spans="4:7" x14ac:dyDescent="0.3">
      <c r="D266" s="66" t="s">
        <v>1390</v>
      </c>
      <c r="E266" s="3">
        <v>18114.82</v>
      </c>
      <c r="F266" s="3">
        <v>18114.830000000002</v>
      </c>
      <c r="G266" s="3">
        <v>-0.01</v>
      </c>
    </row>
    <row r="267" spans="4:7" x14ac:dyDescent="0.3">
      <c r="D267" s="66" t="s">
        <v>1391</v>
      </c>
      <c r="E267" s="3">
        <v>18114.82</v>
      </c>
      <c r="F267" s="3">
        <v>18114.830000000002</v>
      </c>
      <c r="G267" s="3">
        <v>-0.01</v>
      </c>
    </row>
    <row r="268" spans="4:7" x14ac:dyDescent="0.3">
      <c r="D268" s="66" t="s">
        <v>1392</v>
      </c>
      <c r="E268" s="3">
        <v>2310.79</v>
      </c>
      <c r="F268" s="3">
        <v>2310.8000000000002</v>
      </c>
      <c r="G268" s="3">
        <v>-0.01</v>
      </c>
    </row>
    <row r="269" spans="4:7" x14ac:dyDescent="0.3">
      <c r="D269" s="66" t="s">
        <v>1393</v>
      </c>
      <c r="E269" s="3">
        <v>18114.82</v>
      </c>
      <c r="F269" s="3">
        <v>18114.830000000002</v>
      </c>
      <c r="G269" s="3">
        <v>-0.01</v>
      </c>
    </row>
    <row r="270" spans="4:7" x14ac:dyDescent="0.3">
      <c r="D270" s="66" t="s">
        <v>1394</v>
      </c>
      <c r="E270" s="3">
        <v>18114.82</v>
      </c>
      <c r="F270" s="3">
        <v>18114.830000000002</v>
      </c>
      <c r="G270" s="3">
        <v>-0.01</v>
      </c>
    </row>
    <row r="271" spans="4:7" x14ac:dyDescent="0.3">
      <c r="D271" s="66" t="s">
        <v>1395</v>
      </c>
      <c r="E271" s="3">
        <v>18114.82</v>
      </c>
      <c r="F271" s="3">
        <v>18114.830000000002</v>
      </c>
      <c r="G271" s="3">
        <v>-0.01</v>
      </c>
    </row>
    <row r="272" spans="4:7" x14ac:dyDescent="0.3">
      <c r="D272" s="66" t="s">
        <v>1396</v>
      </c>
      <c r="E272" s="3">
        <v>18114.82</v>
      </c>
      <c r="F272" s="3">
        <v>18114.830000000002</v>
      </c>
      <c r="G272" s="3">
        <v>-0.01</v>
      </c>
    </row>
    <row r="273" spans="4:7" x14ac:dyDescent="0.3">
      <c r="D273" s="66" t="s">
        <v>1397</v>
      </c>
      <c r="E273" s="3">
        <v>18114.82</v>
      </c>
      <c r="F273" s="3">
        <v>18114.830000000002</v>
      </c>
      <c r="G273" s="3">
        <v>-0.01</v>
      </c>
    </row>
    <row r="274" spans="4:7" x14ac:dyDescent="0.3">
      <c r="D274" s="66" t="s">
        <v>1398</v>
      </c>
      <c r="E274" s="3">
        <v>2918.29</v>
      </c>
      <c r="F274" s="3">
        <v>2918.3</v>
      </c>
      <c r="G274" s="3">
        <v>-0.01</v>
      </c>
    </row>
    <row r="275" spans="4:7" x14ac:dyDescent="0.3">
      <c r="D275" s="66" t="s">
        <v>1399</v>
      </c>
      <c r="E275" s="3">
        <v>18114.82</v>
      </c>
      <c r="F275" s="3">
        <v>18114.830000000002</v>
      </c>
      <c r="G275" s="3">
        <v>-0.01</v>
      </c>
    </row>
    <row r="276" spans="4:7" x14ac:dyDescent="0.3">
      <c r="D276" s="66" t="s">
        <v>1400</v>
      </c>
      <c r="E276" s="3">
        <v>18114.82</v>
      </c>
      <c r="F276" s="3">
        <v>18114.830000000002</v>
      </c>
      <c r="G276" s="3">
        <v>-0.01</v>
      </c>
    </row>
    <row r="277" spans="4:7" x14ac:dyDescent="0.3">
      <c r="D277" s="66" t="s">
        <v>1401</v>
      </c>
      <c r="E277" s="3">
        <v>18114.82</v>
      </c>
      <c r="F277" s="3">
        <v>18114.830000000002</v>
      </c>
      <c r="G277" s="3">
        <v>-0.01</v>
      </c>
    </row>
    <row r="278" spans="4:7" x14ac:dyDescent="0.3">
      <c r="D278" s="66" t="s">
        <v>1402</v>
      </c>
      <c r="E278" s="3">
        <v>18114.82</v>
      </c>
      <c r="F278" s="3">
        <v>18114.830000000002</v>
      </c>
      <c r="G278" s="3">
        <v>-0.01</v>
      </c>
    </row>
    <row r="279" spans="4:7" x14ac:dyDescent="0.3">
      <c r="D279" s="66" t="s">
        <v>1403</v>
      </c>
      <c r="E279" s="3">
        <v>18114.82</v>
      </c>
      <c r="F279" s="3">
        <v>18114.830000000002</v>
      </c>
      <c r="G279" s="3">
        <v>-0.01</v>
      </c>
    </row>
    <row r="280" spans="4:7" x14ac:dyDescent="0.3">
      <c r="D280" s="66" t="s">
        <v>1404</v>
      </c>
      <c r="E280" s="3">
        <v>18114.82</v>
      </c>
      <c r="F280" s="3">
        <v>18114.830000000002</v>
      </c>
      <c r="G280" s="3">
        <v>-0.01</v>
      </c>
    </row>
    <row r="281" spans="4:7" x14ac:dyDescent="0.3">
      <c r="D281" s="66" t="s">
        <v>1405</v>
      </c>
      <c r="E281" s="3">
        <v>18114.82</v>
      </c>
      <c r="F281" s="3">
        <v>18114.830000000002</v>
      </c>
      <c r="G281" s="3">
        <v>-0.01</v>
      </c>
    </row>
    <row r="282" spans="4:7" x14ac:dyDescent="0.3">
      <c r="D282" s="66" t="s">
        <v>1406</v>
      </c>
      <c r="E282" s="3">
        <v>18114.82</v>
      </c>
      <c r="F282" s="3">
        <v>18114.830000000002</v>
      </c>
      <c r="G282" s="3">
        <v>-0.01</v>
      </c>
    </row>
    <row r="283" spans="4:7" x14ac:dyDescent="0.3">
      <c r="D283" s="66" t="s">
        <v>1407</v>
      </c>
      <c r="E283" s="3">
        <v>18114.82</v>
      </c>
      <c r="F283" s="3">
        <v>18114.830000000002</v>
      </c>
      <c r="G283" s="3">
        <v>-0.01</v>
      </c>
    </row>
    <row r="284" spans="4:7" x14ac:dyDescent="0.3">
      <c r="D284" s="66" t="s">
        <v>1408</v>
      </c>
      <c r="E284" s="3">
        <v>18114.82</v>
      </c>
      <c r="F284" s="3">
        <v>18114.830000000002</v>
      </c>
      <c r="G284" s="3">
        <v>-0.01</v>
      </c>
    </row>
    <row r="285" spans="4:7" x14ac:dyDescent="0.3">
      <c r="D285" s="66" t="s">
        <v>1409</v>
      </c>
      <c r="E285" s="3">
        <v>5452.13</v>
      </c>
      <c r="F285" s="3">
        <v>5452.14</v>
      </c>
      <c r="G285" s="3">
        <v>-0.01</v>
      </c>
    </row>
    <row r="286" spans="4:7" x14ac:dyDescent="0.3">
      <c r="D286" s="66" t="s">
        <v>1410</v>
      </c>
      <c r="E286" s="3">
        <v>18114.82</v>
      </c>
      <c r="F286" s="3">
        <v>18114.830000000002</v>
      </c>
      <c r="G286" s="3">
        <v>-0.01</v>
      </c>
    </row>
    <row r="287" spans="4:7" x14ac:dyDescent="0.3">
      <c r="D287" s="66" t="s">
        <v>1411</v>
      </c>
      <c r="E287" s="3">
        <v>18114.82</v>
      </c>
      <c r="F287" s="3">
        <v>18114.830000000002</v>
      </c>
      <c r="G287" s="3">
        <v>-0.01</v>
      </c>
    </row>
    <row r="288" spans="4:7" x14ac:dyDescent="0.3">
      <c r="D288" s="66" t="s">
        <v>1412</v>
      </c>
      <c r="E288" s="3">
        <v>18114.82</v>
      </c>
      <c r="F288" s="3">
        <v>18114.830000000002</v>
      </c>
      <c r="G288" s="3">
        <v>-0.01</v>
      </c>
    </row>
    <row r="289" spans="4:7" x14ac:dyDescent="0.3">
      <c r="D289" s="66" t="s">
        <v>1413</v>
      </c>
      <c r="E289" s="3">
        <v>18114.82</v>
      </c>
      <c r="F289" s="3">
        <v>18114.830000000002</v>
      </c>
      <c r="G289" s="3">
        <v>-0.01</v>
      </c>
    </row>
    <row r="290" spans="4:7" x14ac:dyDescent="0.3">
      <c r="D290" s="66" t="s">
        <v>1414</v>
      </c>
      <c r="E290" s="3">
        <v>2310.79</v>
      </c>
      <c r="F290" s="3">
        <v>2310.8000000000002</v>
      </c>
      <c r="G290" s="3">
        <v>-0.01</v>
      </c>
    </row>
    <row r="291" spans="4:7" x14ac:dyDescent="0.3">
      <c r="D291" s="66" t="s">
        <v>1415</v>
      </c>
      <c r="E291" s="3">
        <v>18114.82</v>
      </c>
      <c r="F291" s="3">
        <v>18114.830000000002</v>
      </c>
      <c r="G291" s="3">
        <v>-0.01</v>
      </c>
    </row>
    <row r="292" spans="4:7" x14ac:dyDescent="0.3">
      <c r="D292" s="66" t="s">
        <v>1416</v>
      </c>
      <c r="E292" s="3">
        <v>18114.82</v>
      </c>
      <c r="F292" s="3">
        <v>18114.830000000002</v>
      </c>
      <c r="G292" s="3">
        <v>-0.01</v>
      </c>
    </row>
    <row r="293" spans="4:7" x14ac:dyDescent="0.3">
      <c r="D293" s="66" t="s">
        <v>1417</v>
      </c>
      <c r="E293" s="3">
        <v>18114.82</v>
      </c>
      <c r="F293" s="3">
        <v>18114.830000000002</v>
      </c>
      <c r="G293" s="3">
        <v>-0.01</v>
      </c>
    </row>
    <row r="294" spans="4:7" x14ac:dyDescent="0.3">
      <c r="D294" s="66" t="s">
        <v>1418</v>
      </c>
      <c r="E294" s="3">
        <v>2310.79</v>
      </c>
      <c r="F294" s="3">
        <v>2310.8000000000002</v>
      </c>
      <c r="G294" s="3">
        <v>-0.01</v>
      </c>
    </row>
    <row r="295" spans="4:7" x14ac:dyDescent="0.3">
      <c r="D295" s="66" t="s">
        <v>1419</v>
      </c>
      <c r="E295" s="3">
        <v>18114.82</v>
      </c>
      <c r="F295" s="3">
        <v>18114.830000000002</v>
      </c>
      <c r="G295" s="3">
        <v>-0.01</v>
      </c>
    </row>
    <row r="296" spans="4:7" x14ac:dyDescent="0.3">
      <c r="D296" s="66" t="s">
        <v>1420</v>
      </c>
      <c r="E296" s="3">
        <v>2310.79</v>
      </c>
      <c r="F296" s="3">
        <v>2310.8000000000002</v>
      </c>
      <c r="G296" s="3">
        <v>-0.01</v>
      </c>
    </row>
    <row r="297" spans="4:7" x14ac:dyDescent="0.3">
      <c r="D297" s="66" t="s">
        <v>1421</v>
      </c>
      <c r="E297" s="3">
        <v>18114.82</v>
      </c>
      <c r="F297" s="3">
        <v>18114.830000000002</v>
      </c>
      <c r="G297" s="3">
        <v>-0.01</v>
      </c>
    </row>
    <row r="298" spans="4:7" x14ac:dyDescent="0.3">
      <c r="D298" s="66" t="s">
        <v>1422</v>
      </c>
      <c r="E298" s="3">
        <v>2310.79</v>
      </c>
      <c r="F298" s="3">
        <v>2310.8000000000002</v>
      </c>
      <c r="G298" s="3">
        <v>-0.01</v>
      </c>
    </row>
    <row r="299" spans="4:7" x14ac:dyDescent="0.3">
      <c r="D299" s="66" t="s">
        <v>1423</v>
      </c>
      <c r="E299" s="3">
        <v>2310.79</v>
      </c>
      <c r="F299" s="3">
        <v>2310.8000000000002</v>
      </c>
      <c r="G299" s="3">
        <v>-0.01</v>
      </c>
    </row>
    <row r="300" spans="4:7" x14ac:dyDescent="0.3">
      <c r="D300" s="66" t="s">
        <v>1424</v>
      </c>
      <c r="E300" s="3">
        <v>18114.82</v>
      </c>
      <c r="F300" s="3">
        <v>18114.830000000002</v>
      </c>
      <c r="G300" s="3">
        <v>-0.01</v>
      </c>
    </row>
    <row r="301" spans="4:7" x14ac:dyDescent="0.3">
      <c r="D301" s="66" t="s">
        <v>1425</v>
      </c>
      <c r="E301" s="3">
        <v>18114.82</v>
      </c>
      <c r="F301" s="3">
        <v>18114.830000000002</v>
      </c>
      <c r="G301" s="3">
        <v>-0.01</v>
      </c>
    </row>
    <row r="302" spans="4:7" x14ac:dyDescent="0.3">
      <c r="D302" s="66" t="s">
        <v>1426</v>
      </c>
      <c r="E302" s="3">
        <v>18114.82</v>
      </c>
      <c r="F302" s="3">
        <v>18114.830000000002</v>
      </c>
      <c r="G302" s="3">
        <v>-0.01</v>
      </c>
    </row>
    <row r="303" spans="4:7" x14ac:dyDescent="0.3">
      <c r="D303" s="66" t="s">
        <v>1427</v>
      </c>
      <c r="E303" s="3">
        <v>2310.79</v>
      </c>
      <c r="F303" s="3">
        <v>2310.8000000000002</v>
      </c>
      <c r="G303" s="3">
        <v>-0.01</v>
      </c>
    </row>
    <row r="304" spans="4:7" x14ac:dyDescent="0.3">
      <c r="D304" s="66" t="s">
        <v>1428</v>
      </c>
      <c r="E304" s="3">
        <v>18114.82</v>
      </c>
      <c r="F304" s="3">
        <v>18114.830000000002</v>
      </c>
      <c r="G304" s="3">
        <v>-0.01</v>
      </c>
    </row>
    <row r="305" spans="4:7" x14ac:dyDescent="0.3">
      <c r="D305" s="66" t="s">
        <v>1429</v>
      </c>
      <c r="E305" s="3">
        <v>18114.82</v>
      </c>
      <c r="F305" s="3">
        <v>18114.830000000002</v>
      </c>
      <c r="G305" s="3">
        <v>-0.01</v>
      </c>
    </row>
    <row r="306" spans="4:7" x14ac:dyDescent="0.3">
      <c r="D306" s="66" t="s">
        <v>1430</v>
      </c>
      <c r="E306" s="3">
        <v>2310.79</v>
      </c>
      <c r="F306" s="3">
        <v>2310.8000000000002</v>
      </c>
      <c r="G306" s="3">
        <v>-0.01</v>
      </c>
    </row>
    <row r="307" spans="4:7" x14ac:dyDescent="0.3">
      <c r="D307" s="66" t="s">
        <v>1431</v>
      </c>
      <c r="E307" s="3">
        <v>18114.82</v>
      </c>
      <c r="F307" s="3">
        <v>18114.830000000002</v>
      </c>
      <c r="G307" s="3">
        <v>-0.01</v>
      </c>
    </row>
    <row r="308" spans="4:7" x14ac:dyDescent="0.3">
      <c r="D308" s="66" t="s">
        <v>1432</v>
      </c>
      <c r="E308" s="3">
        <v>18114.82</v>
      </c>
      <c r="F308" s="3">
        <v>18114.830000000002</v>
      </c>
      <c r="G308" s="3">
        <v>-0.01</v>
      </c>
    </row>
    <row r="309" spans="4:7" x14ac:dyDescent="0.3">
      <c r="D309" s="66" t="s">
        <v>1433</v>
      </c>
      <c r="E309" s="3">
        <v>18114.82</v>
      </c>
      <c r="F309" s="3">
        <v>18114.830000000002</v>
      </c>
      <c r="G309" s="3">
        <v>-0.01</v>
      </c>
    </row>
    <row r="310" spans="4:7" x14ac:dyDescent="0.3">
      <c r="D310" s="66" t="s">
        <v>1434</v>
      </c>
      <c r="E310" s="3">
        <v>18114.82</v>
      </c>
      <c r="F310" s="3">
        <v>18114.830000000002</v>
      </c>
      <c r="G310" s="3">
        <v>-0.01</v>
      </c>
    </row>
    <row r="311" spans="4:7" x14ac:dyDescent="0.3">
      <c r="D311" s="66" t="s">
        <v>1435</v>
      </c>
      <c r="E311" s="3">
        <v>18114.82</v>
      </c>
      <c r="F311" s="3">
        <v>18114.830000000002</v>
      </c>
      <c r="G311" s="3">
        <v>-0.01</v>
      </c>
    </row>
    <row r="312" spans="4:7" x14ac:dyDescent="0.3">
      <c r="D312" s="66" t="s">
        <v>1436</v>
      </c>
      <c r="E312" s="3">
        <v>18114.82</v>
      </c>
      <c r="F312" s="3">
        <v>18114.830000000002</v>
      </c>
      <c r="G312" s="3">
        <v>-0.01</v>
      </c>
    </row>
    <row r="313" spans="4:7" x14ac:dyDescent="0.3">
      <c r="D313" s="66" t="s">
        <v>1437</v>
      </c>
      <c r="E313" s="3">
        <v>2310.79</v>
      </c>
      <c r="F313" s="3">
        <v>2310.8000000000002</v>
      </c>
      <c r="G313" s="3">
        <v>-0.01</v>
      </c>
    </row>
    <row r="314" spans="4:7" x14ac:dyDescent="0.3">
      <c r="D314" s="66" t="s">
        <v>1438</v>
      </c>
      <c r="E314" s="3">
        <v>18114.82</v>
      </c>
      <c r="F314" s="3">
        <v>18114.830000000002</v>
      </c>
      <c r="G314" s="3">
        <v>-0.01</v>
      </c>
    </row>
    <row r="315" spans="4:7" x14ac:dyDescent="0.3">
      <c r="D315" s="66" t="s">
        <v>1439</v>
      </c>
      <c r="E315" s="3">
        <v>18114.82</v>
      </c>
      <c r="F315" s="3">
        <v>18114.830000000002</v>
      </c>
      <c r="G315" s="3">
        <v>-0.01</v>
      </c>
    </row>
    <row r="316" spans="4:7" x14ac:dyDescent="0.3">
      <c r="D316" s="66" t="s">
        <v>1440</v>
      </c>
      <c r="E316" s="3">
        <v>18114.82</v>
      </c>
      <c r="F316" s="3">
        <v>18114.830000000002</v>
      </c>
      <c r="G316" s="3">
        <v>-0.01</v>
      </c>
    </row>
    <row r="317" spans="4:7" x14ac:dyDescent="0.3">
      <c r="D317" s="66" t="s">
        <v>1441</v>
      </c>
      <c r="E317" s="3">
        <v>18114.82</v>
      </c>
      <c r="F317" s="3">
        <v>18114.830000000002</v>
      </c>
      <c r="G317" s="3">
        <v>-0.01</v>
      </c>
    </row>
    <row r="318" spans="4:7" x14ac:dyDescent="0.3">
      <c r="D318" s="66" t="s">
        <v>1442</v>
      </c>
      <c r="E318" s="3">
        <v>2310.79</v>
      </c>
      <c r="F318" s="3">
        <v>2310.8000000000002</v>
      </c>
      <c r="G318" s="3">
        <v>-0.01</v>
      </c>
    </row>
    <row r="319" spans="4:7" x14ac:dyDescent="0.3">
      <c r="D319" s="66" t="s">
        <v>1443</v>
      </c>
      <c r="E319" s="3">
        <v>18114.82</v>
      </c>
      <c r="F319" s="3">
        <v>18114.830000000002</v>
      </c>
      <c r="G319" s="3">
        <v>-0.01</v>
      </c>
    </row>
    <row r="320" spans="4:7" x14ac:dyDescent="0.3">
      <c r="D320" s="66" t="s">
        <v>1444</v>
      </c>
      <c r="E320" s="3">
        <v>18114.82</v>
      </c>
      <c r="F320" s="3">
        <v>18114.830000000002</v>
      </c>
      <c r="G320" s="3">
        <v>-0.01</v>
      </c>
    </row>
    <row r="321" spans="4:7" x14ac:dyDescent="0.3">
      <c r="D321" s="66" t="s">
        <v>1445</v>
      </c>
      <c r="E321" s="3">
        <v>18114.82</v>
      </c>
      <c r="F321" s="3">
        <v>18114.830000000002</v>
      </c>
      <c r="G321" s="3">
        <v>-0.01</v>
      </c>
    </row>
    <row r="322" spans="4:7" x14ac:dyDescent="0.3">
      <c r="D322" s="66" t="s">
        <v>1446</v>
      </c>
      <c r="E322" s="3">
        <v>18114.82</v>
      </c>
      <c r="F322" s="3">
        <v>18114.830000000002</v>
      </c>
      <c r="G322" s="3">
        <v>-0.01</v>
      </c>
    </row>
    <row r="323" spans="4:7" x14ac:dyDescent="0.3">
      <c r="D323" s="66" t="s">
        <v>1447</v>
      </c>
      <c r="E323" s="3">
        <v>18114.82</v>
      </c>
      <c r="F323" s="3">
        <v>18114.830000000002</v>
      </c>
      <c r="G323" s="3">
        <v>-0.01</v>
      </c>
    </row>
    <row r="324" spans="4:7" x14ac:dyDescent="0.3">
      <c r="D324" s="66" t="s">
        <v>1448</v>
      </c>
      <c r="E324" s="3">
        <v>18114.82</v>
      </c>
      <c r="F324" s="3">
        <v>18114.830000000002</v>
      </c>
      <c r="G324" s="3">
        <v>-0.01</v>
      </c>
    </row>
    <row r="325" spans="4:7" x14ac:dyDescent="0.3">
      <c r="D325" s="66" t="s">
        <v>1449</v>
      </c>
      <c r="E325" s="3">
        <v>18114.82</v>
      </c>
      <c r="F325" s="3">
        <v>18114.830000000002</v>
      </c>
      <c r="G325" s="3">
        <v>-0.01</v>
      </c>
    </row>
    <row r="326" spans="4:7" x14ac:dyDescent="0.3">
      <c r="D326" s="66" t="s">
        <v>1450</v>
      </c>
      <c r="E326" s="3">
        <v>18114.82</v>
      </c>
      <c r="F326" s="3">
        <v>18114.830000000002</v>
      </c>
      <c r="G326" s="3">
        <v>-0.01</v>
      </c>
    </row>
    <row r="327" spans="4:7" x14ac:dyDescent="0.3">
      <c r="D327" s="66" t="s">
        <v>1451</v>
      </c>
      <c r="E327" s="3">
        <v>18114.82</v>
      </c>
      <c r="F327" s="3">
        <v>18114.830000000002</v>
      </c>
      <c r="G327" s="3">
        <v>-0.01</v>
      </c>
    </row>
    <row r="328" spans="4:7" x14ac:dyDescent="0.3">
      <c r="D328" s="66" t="s">
        <v>1452</v>
      </c>
      <c r="E328" s="3">
        <v>18114.82</v>
      </c>
      <c r="F328" s="3">
        <v>18114.830000000002</v>
      </c>
      <c r="G328" s="3">
        <v>-0.01</v>
      </c>
    </row>
    <row r="329" spans="4:7" x14ac:dyDescent="0.3">
      <c r="D329" s="66" t="s">
        <v>1453</v>
      </c>
      <c r="E329" s="3">
        <v>2310.79</v>
      </c>
      <c r="F329" s="3">
        <v>2310.8000000000002</v>
      </c>
      <c r="G329" s="3">
        <v>-0.01</v>
      </c>
    </row>
    <row r="330" spans="4:7" x14ac:dyDescent="0.3">
      <c r="D330" s="66" t="s">
        <v>1454</v>
      </c>
      <c r="E330" s="3">
        <v>18114.82</v>
      </c>
      <c r="F330" s="3">
        <v>18114.830000000002</v>
      </c>
      <c r="G330" s="3">
        <v>-0.01</v>
      </c>
    </row>
    <row r="331" spans="4:7" x14ac:dyDescent="0.3">
      <c r="D331" s="66" t="s">
        <v>1455</v>
      </c>
      <c r="E331" s="3">
        <v>2310.79</v>
      </c>
      <c r="F331" s="3">
        <v>2310.8000000000002</v>
      </c>
      <c r="G331" s="3">
        <v>-0.01</v>
      </c>
    </row>
    <row r="332" spans="4:7" x14ac:dyDescent="0.3">
      <c r="D332" s="66" t="s">
        <v>1456</v>
      </c>
      <c r="E332" s="3">
        <v>6781.8</v>
      </c>
      <c r="F332" s="3">
        <v>6781.81</v>
      </c>
      <c r="G332" s="3">
        <v>-0.01</v>
      </c>
    </row>
    <row r="333" spans="4:7" x14ac:dyDescent="0.3">
      <c r="D333" s="66" t="s">
        <v>1457</v>
      </c>
      <c r="E333" s="3">
        <v>18114.82</v>
      </c>
      <c r="F333" s="3">
        <v>18114.830000000002</v>
      </c>
      <c r="G333" s="3">
        <v>-0.01</v>
      </c>
    </row>
    <row r="334" spans="4:7" x14ac:dyDescent="0.3">
      <c r="D334" s="66" t="s">
        <v>1458</v>
      </c>
      <c r="E334" s="3">
        <v>975.1</v>
      </c>
      <c r="F334" s="3">
        <v>975.11</v>
      </c>
      <c r="G334" s="3">
        <v>-0.01</v>
      </c>
    </row>
    <row r="335" spans="4:7" x14ac:dyDescent="0.3">
      <c r="D335" s="66" t="s">
        <v>1459</v>
      </c>
      <c r="E335" s="3">
        <v>18114.82</v>
      </c>
      <c r="F335" s="3">
        <v>18114.830000000002</v>
      </c>
      <c r="G335" s="3">
        <v>-0.01</v>
      </c>
    </row>
    <row r="336" spans="4:7" x14ac:dyDescent="0.3">
      <c r="D336" s="66" t="s">
        <v>1460</v>
      </c>
      <c r="E336" s="3">
        <v>18114.82</v>
      </c>
      <c r="F336" s="3">
        <v>18114.830000000002</v>
      </c>
      <c r="G336" s="3">
        <v>-0.01</v>
      </c>
    </row>
    <row r="337" spans="4:7" x14ac:dyDescent="0.3">
      <c r="D337" s="66" t="s">
        <v>1461</v>
      </c>
      <c r="E337" s="3">
        <v>18114.82</v>
      </c>
      <c r="F337" s="3">
        <v>18114.830000000002</v>
      </c>
      <c r="G337" s="3">
        <v>-0.01</v>
      </c>
    </row>
    <row r="338" spans="4:7" x14ac:dyDescent="0.3">
      <c r="D338" s="66" t="s">
        <v>1462</v>
      </c>
      <c r="E338" s="3">
        <v>18114.82</v>
      </c>
      <c r="F338" s="3">
        <v>18114.830000000002</v>
      </c>
      <c r="G338" s="3">
        <v>-0.01</v>
      </c>
    </row>
    <row r="339" spans="4:7" x14ac:dyDescent="0.3">
      <c r="D339" s="66" t="s">
        <v>1463</v>
      </c>
      <c r="E339" s="3">
        <v>18114.82</v>
      </c>
      <c r="F339" s="3">
        <v>18114.830000000002</v>
      </c>
      <c r="G339" s="3">
        <v>-0.01</v>
      </c>
    </row>
    <row r="340" spans="4:7" x14ac:dyDescent="0.3">
      <c r="D340" s="66" t="s">
        <v>1464</v>
      </c>
      <c r="E340" s="3">
        <v>18114.82</v>
      </c>
      <c r="F340" s="3">
        <v>18114.830000000002</v>
      </c>
      <c r="G340" s="3">
        <v>-0.01</v>
      </c>
    </row>
    <row r="341" spans="4:7" x14ac:dyDescent="0.3">
      <c r="D341" s="66" t="s">
        <v>1465</v>
      </c>
      <c r="E341" s="3">
        <v>18114.82</v>
      </c>
      <c r="F341" s="3">
        <v>18114.830000000002</v>
      </c>
      <c r="G341" s="3">
        <v>-0.01</v>
      </c>
    </row>
    <row r="342" spans="4:7" x14ac:dyDescent="0.3">
      <c r="D342" s="66" t="s">
        <v>1466</v>
      </c>
      <c r="E342" s="3">
        <v>18114.82</v>
      </c>
      <c r="F342" s="3">
        <v>18114.830000000002</v>
      </c>
      <c r="G342" s="3">
        <v>-0.01</v>
      </c>
    </row>
    <row r="343" spans="4:7" x14ac:dyDescent="0.3">
      <c r="D343" s="66" t="s">
        <v>1467</v>
      </c>
      <c r="E343" s="3">
        <v>18114.82</v>
      </c>
      <c r="F343" s="3">
        <v>18114.830000000002</v>
      </c>
      <c r="G343" s="3">
        <v>-0.01</v>
      </c>
    </row>
    <row r="344" spans="4:7" x14ac:dyDescent="0.3">
      <c r="D344" s="66" t="s">
        <v>1468</v>
      </c>
      <c r="E344" s="3">
        <v>18114.82</v>
      </c>
      <c r="F344" s="3">
        <v>18114.830000000002</v>
      </c>
      <c r="G344" s="3">
        <v>-0.01</v>
      </c>
    </row>
    <row r="345" spans="4:7" x14ac:dyDescent="0.3">
      <c r="D345" s="66" t="s">
        <v>1469</v>
      </c>
      <c r="E345" s="3">
        <v>18114.82</v>
      </c>
      <c r="F345" s="3">
        <v>18114.830000000002</v>
      </c>
      <c r="G345" s="3">
        <v>-0.01</v>
      </c>
    </row>
    <row r="346" spans="4:7" x14ac:dyDescent="0.3">
      <c r="D346" s="66" t="s">
        <v>1470</v>
      </c>
      <c r="E346" s="3">
        <v>18114.82</v>
      </c>
      <c r="F346" s="3">
        <v>18114.830000000002</v>
      </c>
      <c r="G346" s="3">
        <v>-0.01</v>
      </c>
    </row>
    <row r="347" spans="4:7" x14ac:dyDescent="0.3">
      <c r="D347" s="66" t="s">
        <v>1471</v>
      </c>
      <c r="E347" s="3">
        <v>2310.79</v>
      </c>
      <c r="F347" s="3">
        <v>2310.8000000000002</v>
      </c>
      <c r="G347" s="3">
        <v>-0.01</v>
      </c>
    </row>
    <row r="348" spans="4:7" x14ac:dyDescent="0.3">
      <c r="D348" s="66" t="s">
        <v>1472</v>
      </c>
      <c r="E348" s="3">
        <v>18114.82</v>
      </c>
      <c r="F348" s="3">
        <v>18114.830000000002</v>
      </c>
      <c r="G348" s="3">
        <v>-0.01</v>
      </c>
    </row>
    <row r="349" spans="4:7" x14ac:dyDescent="0.3">
      <c r="D349" s="66" t="s">
        <v>1473</v>
      </c>
      <c r="E349" s="3">
        <v>18114.82</v>
      </c>
      <c r="F349" s="3">
        <v>18114.830000000002</v>
      </c>
      <c r="G349" s="3">
        <v>-0.01</v>
      </c>
    </row>
    <row r="350" spans="4:7" x14ac:dyDescent="0.3">
      <c r="D350" s="66" t="s">
        <v>1474</v>
      </c>
      <c r="E350" s="3">
        <v>2310.79</v>
      </c>
      <c r="F350" s="3">
        <v>2310.8000000000002</v>
      </c>
      <c r="G350" s="3">
        <v>-0.01</v>
      </c>
    </row>
    <row r="351" spans="4:7" x14ac:dyDescent="0.3">
      <c r="D351" s="66" t="s">
        <v>1475</v>
      </c>
      <c r="E351" s="3">
        <v>18114.82</v>
      </c>
      <c r="F351" s="3">
        <v>18114.830000000002</v>
      </c>
      <c r="G351" s="3">
        <v>-0.01</v>
      </c>
    </row>
    <row r="352" spans="4:7" x14ac:dyDescent="0.3">
      <c r="D352" s="66" t="s">
        <v>1476</v>
      </c>
      <c r="E352" s="3">
        <v>4997.0600000000004</v>
      </c>
      <c r="F352" s="3">
        <v>4997.07</v>
      </c>
      <c r="G352" s="3">
        <v>-0.01</v>
      </c>
    </row>
    <row r="353" spans="4:7" x14ac:dyDescent="0.3">
      <c r="D353" s="66" t="s">
        <v>1477</v>
      </c>
      <c r="E353" s="3">
        <v>18114.82</v>
      </c>
      <c r="F353" s="3">
        <v>18114.830000000002</v>
      </c>
      <c r="G353" s="3">
        <v>-0.01</v>
      </c>
    </row>
    <row r="354" spans="4:7" x14ac:dyDescent="0.3">
      <c r="D354" s="66" t="s">
        <v>1478</v>
      </c>
      <c r="E354" s="3">
        <v>18114.82</v>
      </c>
      <c r="F354" s="3">
        <v>18114.830000000002</v>
      </c>
      <c r="G354" s="3">
        <v>-0.01</v>
      </c>
    </row>
  </sheetData>
  <mergeCells count="37">
    <mergeCell ref="E252:J252"/>
    <mergeCell ref="D215:N215"/>
    <mergeCell ref="D221:N221"/>
    <mergeCell ref="D227:N227"/>
    <mergeCell ref="D233:N233"/>
    <mergeCell ref="D239:N239"/>
    <mergeCell ref="E246:J246"/>
    <mergeCell ref="D179:N179"/>
    <mergeCell ref="D185:N185"/>
    <mergeCell ref="D191:N191"/>
    <mergeCell ref="D197:N197"/>
    <mergeCell ref="D203:N203"/>
    <mergeCell ref="D209:N209"/>
    <mergeCell ref="D143:N143"/>
    <mergeCell ref="D149:N149"/>
    <mergeCell ref="D155:N155"/>
    <mergeCell ref="D161:N161"/>
    <mergeCell ref="D167:N167"/>
    <mergeCell ref="D173:N173"/>
    <mergeCell ref="D107:N107"/>
    <mergeCell ref="D113:N113"/>
    <mergeCell ref="D119:N119"/>
    <mergeCell ref="D125:N125"/>
    <mergeCell ref="D131:N131"/>
    <mergeCell ref="D137:N137"/>
    <mergeCell ref="D71:N71"/>
    <mergeCell ref="D77:N77"/>
    <mergeCell ref="D83:N83"/>
    <mergeCell ref="D89:N89"/>
    <mergeCell ref="D95:N95"/>
    <mergeCell ref="D101:N101"/>
    <mergeCell ref="D14:N14"/>
    <mergeCell ref="D16:P16"/>
    <mergeCell ref="D18:P18"/>
    <mergeCell ref="D20:P20"/>
    <mergeCell ref="D59:N59"/>
    <mergeCell ref="D65:N6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1496-7E14-4CFF-9C88-3E61B96797DE}">
  <dimension ref="A2:AV48"/>
  <sheetViews>
    <sheetView topLeftCell="A4" workbookViewId="0">
      <selection activeCell="D18" sqref="D18:P18"/>
    </sheetView>
  </sheetViews>
  <sheetFormatPr defaultRowHeight="14.4" x14ac:dyDescent="0.3"/>
  <cols>
    <col min="3" max="3" width="26.5546875" bestFit="1" customWidth="1"/>
    <col min="4" max="4" width="21.5546875" customWidth="1"/>
    <col min="5" max="5" width="36.33203125" bestFit="1" customWidth="1"/>
    <col min="6" max="6" width="20.109375" bestFit="1" customWidth="1"/>
    <col min="7" max="7" width="18.44140625" bestFit="1" customWidth="1"/>
    <col min="8" max="9" width="9.88671875" bestFit="1" customWidth="1"/>
    <col min="10" max="10" width="22.88671875" customWidth="1"/>
    <col min="11" max="11" width="20.109375" bestFit="1" customWidth="1"/>
    <col min="12" max="12" width="28.44140625" bestFit="1" customWidth="1"/>
    <col min="13" max="13" width="15.109375" bestFit="1" customWidth="1"/>
    <col min="14" max="14" width="15.5546875" bestFit="1" customWidth="1"/>
    <col min="15" max="15" width="15.109375" bestFit="1" customWidth="1"/>
    <col min="16" max="16" width="11.109375" bestFit="1" customWidth="1"/>
    <col min="17" max="17" width="7.44140625" bestFit="1" customWidth="1"/>
    <col min="18" max="18" width="9.5546875" bestFit="1" customWidth="1"/>
  </cols>
  <sheetData>
    <row r="2" spans="1:48" x14ac:dyDescent="0.3">
      <c r="B2" s="1" t="s">
        <v>1262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48" x14ac:dyDescent="0.3">
      <c r="B3" s="50"/>
    </row>
    <row r="4" spans="1:48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48" x14ac:dyDescent="0.3">
      <c r="C5" s="3" t="s">
        <v>1</v>
      </c>
      <c r="D5" s="3" t="s">
        <v>459</v>
      </c>
      <c r="E5" s="3" t="s">
        <v>3</v>
      </c>
      <c r="F5" s="3" t="s">
        <v>1479</v>
      </c>
      <c r="G5" s="3" t="s">
        <v>1480</v>
      </c>
      <c r="H5" s="3" t="s">
        <v>1481</v>
      </c>
      <c r="I5" s="3" t="s">
        <v>1482</v>
      </c>
      <c r="J5" s="3" t="s">
        <v>1483</v>
      </c>
      <c r="K5" s="3" t="s">
        <v>1484</v>
      </c>
      <c r="L5" s="3" t="s">
        <v>1485</v>
      </c>
      <c r="M5" s="3" t="s">
        <v>1486</v>
      </c>
      <c r="N5" s="3" t="s">
        <v>1487</v>
      </c>
      <c r="O5" s="3" t="s">
        <v>1488</v>
      </c>
      <c r="P5" s="3" t="s">
        <v>1489</v>
      </c>
      <c r="Q5" s="3" t="s">
        <v>1490</v>
      </c>
      <c r="R5" s="3"/>
      <c r="AV5" s="3"/>
    </row>
    <row r="6" spans="1:48" x14ac:dyDescent="0.3">
      <c r="C6" s="51">
        <v>45565</v>
      </c>
      <c r="D6" s="3" t="s">
        <v>31</v>
      </c>
      <c r="E6" s="3">
        <v>344637</v>
      </c>
      <c r="F6" s="58">
        <v>251392</v>
      </c>
      <c r="G6" s="5">
        <v>93245</v>
      </c>
      <c r="H6" s="3">
        <v>0</v>
      </c>
      <c r="I6" s="3">
        <v>0</v>
      </c>
      <c r="J6" s="58">
        <v>344637</v>
      </c>
      <c r="K6" s="3">
        <v>0</v>
      </c>
      <c r="L6" s="3">
        <v>0</v>
      </c>
      <c r="M6" s="3">
        <v>0</v>
      </c>
      <c r="N6" s="58">
        <v>344637</v>
      </c>
      <c r="O6" s="3">
        <v>0</v>
      </c>
      <c r="P6" s="3">
        <v>0</v>
      </c>
      <c r="Q6" s="3">
        <v>0</v>
      </c>
      <c r="R6" s="3"/>
      <c r="AV6" s="3"/>
    </row>
    <row r="7" spans="1:48" x14ac:dyDescent="0.3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8"/>
      <c r="Q7" s="9"/>
      <c r="R7" s="6"/>
    </row>
    <row r="8" spans="1:48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2"/>
      <c r="Q8" s="10"/>
      <c r="R8" s="10"/>
    </row>
    <row r="9" spans="1:48" s="18" customFormat="1" x14ac:dyDescent="0.3">
      <c r="A9"/>
      <c r="B9"/>
      <c r="C9" s="13"/>
      <c r="D9" s="14"/>
      <c r="E9" s="15"/>
      <c r="F9" s="15"/>
      <c r="G9" s="15"/>
      <c r="H9" s="16"/>
      <c r="I9" s="16"/>
      <c r="J9" s="16"/>
      <c r="K9" s="16"/>
      <c r="L9" s="17"/>
      <c r="M9" s="17"/>
      <c r="N9" s="11"/>
      <c r="O9" s="11"/>
      <c r="P9" s="13"/>
      <c r="Q9" s="13"/>
      <c r="R9" s="13"/>
    </row>
    <row r="10" spans="1:48" s="18" customFormat="1" x14ac:dyDescent="0.3">
      <c r="C10" s="13"/>
      <c r="D10" s="14"/>
      <c r="E10" s="15"/>
      <c r="F10" s="15"/>
      <c r="G10" s="15"/>
      <c r="H10" s="16"/>
      <c r="I10" s="16"/>
      <c r="J10" s="16"/>
      <c r="K10" s="16"/>
      <c r="L10" s="16"/>
      <c r="M10" s="16"/>
      <c r="N10" s="11"/>
      <c r="O10" s="11"/>
      <c r="P10" s="13"/>
      <c r="Q10" s="13"/>
      <c r="R10" s="13"/>
    </row>
    <row r="11" spans="1:48" x14ac:dyDescent="0.3"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48" x14ac:dyDescent="0.3">
      <c r="C13" s="19" t="s">
        <v>20</v>
      </c>
    </row>
    <row r="14" spans="1:48" ht="14.4" customHeight="1" x14ac:dyDescent="0.3">
      <c r="D14" s="52" t="s">
        <v>1491</v>
      </c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48" x14ac:dyDescent="0.3">
      <c r="C15" s="20" t="s">
        <v>21</v>
      </c>
    </row>
    <row r="16" spans="1:48" ht="14.4" customHeight="1" x14ac:dyDescent="0.3"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</row>
    <row r="17" spans="3:16" x14ac:dyDescent="0.3">
      <c r="C17" s="20" t="s">
        <v>22</v>
      </c>
    </row>
    <row r="18" spans="3:16" x14ac:dyDescent="0.3"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3:16" x14ac:dyDescent="0.3">
      <c r="C19" s="20" t="s">
        <v>23</v>
      </c>
    </row>
    <row r="20" spans="3:16" x14ac:dyDescent="0.3"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3:16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" t="s">
        <v>24</v>
      </c>
      <c r="D22" s="22"/>
      <c r="E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4" spans="3:16" x14ac:dyDescent="0.3">
      <c r="C24" s="3" t="s">
        <v>1346</v>
      </c>
      <c r="D24" s="5">
        <v>93245</v>
      </c>
      <c r="E24" s="58" t="s">
        <v>1492</v>
      </c>
    </row>
    <row r="26" spans="3:16" x14ac:dyDescent="0.3"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8" spans="3:16" x14ac:dyDescent="0.3">
      <c r="C28" s="56" t="s">
        <v>1346</v>
      </c>
    </row>
    <row r="29" spans="3:16" x14ac:dyDescent="0.3">
      <c r="D29" s="57" t="s">
        <v>1493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1" spans="3:16" x14ac:dyDescent="0.3">
      <c r="C31" s="3" t="s">
        <v>1</v>
      </c>
      <c r="D31" s="3" t="s">
        <v>459</v>
      </c>
      <c r="E31" s="3" t="s">
        <v>3</v>
      </c>
      <c r="F31" s="3" t="s">
        <v>1372</v>
      </c>
      <c r="G31" s="3" t="s">
        <v>1373</v>
      </c>
    </row>
    <row r="32" spans="3:16" x14ac:dyDescent="0.3">
      <c r="C32" s="51">
        <v>45565</v>
      </c>
      <c r="D32" s="3" t="s">
        <v>31</v>
      </c>
      <c r="E32" s="3">
        <v>344637</v>
      </c>
      <c r="F32" s="68">
        <v>1.0000000000800001E-6</v>
      </c>
      <c r="G32" s="3">
        <v>0</v>
      </c>
    </row>
    <row r="33" spans="3:14" x14ac:dyDescent="0.3">
      <c r="C33" s="4"/>
    </row>
    <row r="34" spans="3:14" x14ac:dyDescent="0.3">
      <c r="C34" s="69" t="s">
        <v>1494</v>
      </c>
    </row>
    <row r="35" spans="3:14" x14ac:dyDescent="0.3">
      <c r="C35" s="4"/>
      <c r="D35" s="57" t="s">
        <v>1375</v>
      </c>
      <c r="E35" s="57"/>
      <c r="F35" s="57"/>
      <c r="G35" s="57"/>
      <c r="H35" s="57"/>
      <c r="I35" s="57"/>
      <c r="J35" s="57"/>
      <c r="K35" s="57"/>
      <c r="L35" s="57"/>
      <c r="M35" s="57"/>
      <c r="N35" s="57"/>
    </row>
    <row r="36" spans="3:14" x14ac:dyDescent="0.3">
      <c r="C36" s="4"/>
    </row>
    <row r="37" spans="3:14" x14ac:dyDescent="0.3">
      <c r="C37" s="66" t="s">
        <v>1376</v>
      </c>
      <c r="D37" s="66" t="s">
        <v>1495</v>
      </c>
      <c r="E37" s="66" t="s">
        <v>1496</v>
      </c>
      <c r="F37" s="66" t="s">
        <v>1378</v>
      </c>
    </row>
    <row r="38" spans="3:14" x14ac:dyDescent="0.3">
      <c r="C38" s="66" t="s">
        <v>1497</v>
      </c>
      <c r="D38" s="3">
        <v>2.3800000000000001E-4</v>
      </c>
      <c r="E38" s="3">
        <v>2.3699999999999999E-4</v>
      </c>
      <c r="F38" s="68">
        <v>9.9999999999999995E-7</v>
      </c>
    </row>
    <row r="39" spans="3:14" x14ac:dyDescent="0.3">
      <c r="C39" s="66" t="s">
        <v>1498</v>
      </c>
      <c r="D39" s="3">
        <v>1.1379E-2</v>
      </c>
      <c r="E39" s="3">
        <v>1.1379999999999999E-2</v>
      </c>
      <c r="F39" s="68">
        <v>-9.9999999999999995E-7</v>
      </c>
    </row>
    <row r="40" spans="3:14" x14ac:dyDescent="0.3">
      <c r="C40" s="66" t="s">
        <v>1499</v>
      </c>
      <c r="D40" s="3">
        <v>1.1789000000000001E-2</v>
      </c>
      <c r="E40" s="3">
        <v>1.1788E-2</v>
      </c>
      <c r="F40" s="68">
        <v>9.9999999999999995E-7</v>
      </c>
    </row>
    <row r="41" spans="3:14" x14ac:dyDescent="0.3">
      <c r="C41" s="66" t="s">
        <v>1500</v>
      </c>
      <c r="D41" s="3">
        <v>5.4140000000000004E-3</v>
      </c>
      <c r="E41" s="3">
        <v>5.4149999999999997E-3</v>
      </c>
      <c r="F41" s="68">
        <v>-9.9999999999999995E-7</v>
      </c>
    </row>
    <row r="42" spans="3:14" x14ac:dyDescent="0.3">
      <c r="C42" s="66" t="s">
        <v>1501</v>
      </c>
      <c r="D42" s="3">
        <v>2.3990000000000001E-3</v>
      </c>
      <c r="E42" s="3">
        <v>2.3999999999999998E-3</v>
      </c>
      <c r="F42" s="68">
        <v>-9.9999999999999995E-7</v>
      </c>
    </row>
    <row r="43" spans="3:14" x14ac:dyDescent="0.3">
      <c r="C43" s="66" t="s">
        <v>1502</v>
      </c>
      <c r="D43" s="3">
        <v>2.3800000000000001E-4</v>
      </c>
      <c r="E43" s="3">
        <v>2.3699999999999999E-4</v>
      </c>
      <c r="F43" s="68">
        <v>9.9999999999999995E-7</v>
      </c>
    </row>
    <row r="44" spans="3:14" x14ac:dyDescent="0.3">
      <c r="C44" s="66" t="s">
        <v>1503</v>
      </c>
      <c r="D44" s="3">
        <v>2.1425E-2</v>
      </c>
      <c r="E44" s="3">
        <v>2.1423999999999999E-2</v>
      </c>
      <c r="F44" s="68">
        <v>9.9999999999999995E-7</v>
      </c>
    </row>
    <row r="45" spans="3:14" x14ac:dyDescent="0.3">
      <c r="C45" s="66" t="s">
        <v>1504</v>
      </c>
      <c r="D45" s="3">
        <v>8.8870000000000008E-3</v>
      </c>
      <c r="E45" s="3">
        <v>8.8880000000000001E-3</v>
      </c>
      <c r="F45" s="68">
        <v>-9.9999999999999995E-7</v>
      </c>
    </row>
    <row r="46" spans="3:14" x14ac:dyDescent="0.3">
      <c r="C46" s="66" t="s">
        <v>1505</v>
      </c>
      <c r="D46" s="3">
        <v>5.0439999999999999E-3</v>
      </c>
      <c r="E46" s="3">
        <v>5.045E-3</v>
      </c>
      <c r="F46" s="68">
        <v>-9.9999999999999995E-7</v>
      </c>
    </row>
    <row r="47" spans="3:14" x14ac:dyDescent="0.3">
      <c r="C47" s="66" t="s">
        <v>1506</v>
      </c>
      <c r="D47" s="3">
        <v>2.078E-3</v>
      </c>
      <c r="E47" s="3">
        <v>2.0769999999999999E-3</v>
      </c>
      <c r="F47" s="68">
        <v>9.9999999999999995E-7</v>
      </c>
    </row>
    <row r="48" spans="3:14" x14ac:dyDescent="0.3">
      <c r="C48" s="4"/>
    </row>
  </sheetData>
  <mergeCells count="6">
    <mergeCell ref="D14:N14"/>
    <mergeCell ref="D16:P16"/>
    <mergeCell ref="D18:P18"/>
    <mergeCell ref="D20:P20"/>
    <mergeCell ref="D29:N29"/>
    <mergeCell ref="D35:N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0015-2D2F-46BD-A66A-C2EDC7D75A4B}">
  <dimension ref="A3:L54"/>
  <sheetViews>
    <sheetView tabSelected="1" topLeftCell="A13" workbookViewId="0">
      <selection activeCell="I7" sqref="I7"/>
    </sheetView>
  </sheetViews>
  <sheetFormatPr defaultRowHeight="14.4" x14ac:dyDescent="0.3"/>
  <cols>
    <col min="7" max="7" width="21.33203125" customWidth="1"/>
    <col min="8" max="8" width="13.44140625" bestFit="1" customWidth="1"/>
    <col min="9" max="9" width="12.77734375" bestFit="1" customWidth="1"/>
    <col min="10" max="10" width="15.109375" bestFit="1" customWidth="1"/>
    <col min="11" max="11" width="14.88671875" bestFit="1" customWidth="1"/>
    <col min="12" max="12" width="23.6640625" bestFit="1" customWidth="1"/>
  </cols>
  <sheetData>
    <row r="3" spans="1:1" x14ac:dyDescent="0.3">
      <c r="A3" t="s">
        <v>1071</v>
      </c>
    </row>
    <row r="4" spans="1:1" x14ac:dyDescent="0.3">
      <c r="A4" t="s">
        <v>1072</v>
      </c>
    </row>
    <row r="5" spans="1:1" x14ac:dyDescent="0.3">
      <c r="A5" t="s">
        <v>1073</v>
      </c>
    </row>
    <row r="6" spans="1:1" x14ac:dyDescent="0.3">
      <c r="A6" t="s">
        <v>1074</v>
      </c>
    </row>
    <row r="7" spans="1:1" x14ac:dyDescent="0.3">
      <c r="A7" t="s">
        <v>1075</v>
      </c>
    </row>
    <row r="8" spans="1:1" x14ac:dyDescent="0.3">
      <c r="A8" t="s">
        <v>1076</v>
      </c>
    </row>
    <row r="9" spans="1:1" x14ac:dyDescent="0.3">
      <c r="A9" t="s">
        <v>1077</v>
      </c>
    </row>
    <row r="10" spans="1:1" x14ac:dyDescent="0.3">
      <c r="A10" t="s">
        <v>1078</v>
      </c>
    </row>
    <row r="11" spans="1:1" x14ac:dyDescent="0.3">
      <c r="A11" t="s">
        <v>1079</v>
      </c>
    </row>
    <row r="12" spans="1:1" x14ac:dyDescent="0.3">
      <c r="A12" t="s">
        <v>1080</v>
      </c>
    </row>
    <row r="13" spans="1:1" x14ac:dyDescent="0.3">
      <c r="A13" t="s">
        <v>1081</v>
      </c>
    </row>
    <row r="14" spans="1:1" x14ac:dyDescent="0.3">
      <c r="A14" t="s">
        <v>1082</v>
      </c>
    </row>
    <row r="15" spans="1:1" x14ac:dyDescent="0.3">
      <c r="A15" t="s">
        <v>1083</v>
      </c>
    </row>
    <row r="16" spans="1:1" x14ac:dyDescent="0.3">
      <c r="A16" t="s">
        <v>1084</v>
      </c>
    </row>
    <row r="17" spans="1:1" x14ac:dyDescent="0.3">
      <c r="A17" t="s">
        <v>1085</v>
      </c>
    </row>
    <row r="18" spans="1:1" x14ac:dyDescent="0.3">
      <c r="A18" t="s">
        <v>1086</v>
      </c>
    </row>
    <row r="19" spans="1:1" x14ac:dyDescent="0.3">
      <c r="A19" t="s">
        <v>1087</v>
      </c>
    </row>
    <row r="20" spans="1:1" x14ac:dyDescent="0.3">
      <c r="A20" t="s">
        <v>1088</v>
      </c>
    </row>
    <row r="21" spans="1:1" x14ac:dyDescent="0.3">
      <c r="A21" t="s">
        <v>1089</v>
      </c>
    </row>
    <row r="22" spans="1:1" x14ac:dyDescent="0.3">
      <c r="A22" t="s">
        <v>1090</v>
      </c>
    </row>
    <row r="23" spans="1:1" x14ac:dyDescent="0.3">
      <c r="A23" t="s">
        <v>1091</v>
      </c>
    </row>
    <row r="24" spans="1:1" x14ac:dyDescent="0.3">
      <c r="A24" t="s">
        <v>1092</v>
      </c>
    </row>
    <row r="25" spans="1:1" x14ac:dyDescent="0.3">
      <c r="A25" t="s">
        <v>1072</v>
      </c>
    </row>
    <row r="26" spans="1:1" x14ac:dyDescent="0.3">
      <c r="A26" t="s">
        <v>1073</v>
      </c>
    </row>
    <row r="27" spans="1:1" x14ac:dyDescent="0.3">
      <c r="A27" t="s">
        <v>1074</v>
      </c>
    </row>
    <row r="28" spans="1:1" x14ac:dyDescent="0.3">
      <c r="A28" t="s">
        <v>1093</v>
      </c>
    </row>
    <row r="29" spans="1:1" x14ac:dyDescent="0.3">
      <c r="A29" t="s">
        <v>1094</v>
      </c>
    </row>
    <row r="30" spans="1:1" x14ac:dyDescent="0.3">
      <c r="A30" t="s">
        <v>1074</v>
      </c>
    </row>
    <row r="31" spans="1:1" x14ac:dyDescent="0.3">
      <c r="A31" t="s">
        <v>1093</v>
      </c>
    </row>
    <row r="32" spans="1:1" x14ac:dyDescent="0.3">
      <c r="A32" t="s">
        <v>1095</v>
      </c>
    </row>
    <row r="33" spans="1:12" x14ac:dyDescent="0.3">
      <c r="A33" t="s">
        <v>1096</v>
      </c>
    </row>
    <row r="34" spans="1:12" x14ac:dyDescent="0.3">
      <c r="A34" t="s">
        <v>1097</v>
      </c>
    </row>
    <row r="35" spans="1:12" x14ac:dyDescent="0.3">
      <c r="B35" s="3" t="s">
        <v>104</v>
      </c>
      <c r="C35" s="3" t="s">
        <v>1098</v>
      </c>
      <c r="D35" s="3" t="s">
        <v>1099</v>
      </c>
      <c r="E35" s="3" t="s">
        <v>1100</v>
      </c>
      <c r="F35" s="3" t="s">
        <v>1101</v>
      </c>
      <c r="G35" s="3" t="s">
        <v>1102</v>
      </c>
      <c r="H35" s="3" t="s">
        <v>1103</v>
      </c>
      <c r="I35" s="3" t="s">
        <v>1104</v>
      </c>
      <c r="J35" s="3" t="s">
        <v>1105</v>
      </c>
      <c r="K35" s="3" t="s">
        <v>1106</v>
      </c>
      <c r="L35" s="3" t="s">
        <v>1107</v>
      </c>
    </row>
    <row r="36" spans="1:12" hidden="1" x14ac:dyDescent="0.3">
      <c r="B36" s="3">
        <v>19479136</v>
      </c>
      <c r="C36" s="3" t="s">
        <v>1108</v>
      </c>
      <c r="D36" s="3" t="s">
        <v>1109</v>
      </c>
      <c r="E36" s="3" t="s">
        <v>1110</v>
      </c>
      <c r="F36" s="3" t="s">
        <v>1111</v>
      </c>
      <c r="G36" s="70">
        <v>3374787839.8575401</v>
      </c>
      <c r="H36" s="70">
        <v>1725104700.3956299</v>
      </c>
      <c r="I36" s="70">
        <v>115614969.104229</v>
      </c>
      <c r="J36" s="70">
        <v>420214559.98000002</v>
      </c>
      <c r="K36" s="70">
        <v>4039896871.2800002</v>
      </c>
      <c r="L36" s="70">
        <v>511676168.06</v>
      </c>
    </row>
    <row r="37" spans="1:12" hidden="1" x14ac:dyDescent="0.3">
      <c r="B37" s="3">
        <v>19479136</v>
      </c>
      <c r="C37" s="3" t="s">
        <v>1108</v>
      </c>
      <c r="D37" s="3" t="s">
        <v>1109</v>
      </c>
      <c r="E37" s="3" t="s">
        <v>1110</v>
      </c>
      <c r="F37" s="3" t="s">
        <v>1112</v>
      </c>
      <c r="G37" s="70">
        <v>-5495332740.3212004</v>
      </c>
      <c r="H37" s="70">
        <v>-1864614758.0703101</v>
      </c>
      <c r="I37" s="70">
        <v>-111532799.42210101</v>
      </c>
      <c r="J37" s="70">
        <v>-420214559.98000002</v>
      </c>
      <c r="K37" s="70">
        <v>-4039896871.2800002</v>
      </c>
      <c r="L37" s="70">
        <v>-1223745318.23</v>
      </c>
    </row>
    <row r="38" spans="1:12" hidden="1" x14ac:dyDescent="0.3">
      <c r="B38" s="3">
        <v>19479136</v>
      </c>
      <c r="C38" s="3" t="s">
        <v>1108</v>
      </c>
      <c r="D38" s="3" t="s">
        <v>1109</v>
      </c>
      <c r="E38" s="3" t="s">
        <v>1110</v>
      </c>
      <c r="F38" s="3" t="s">
        <v>1113</v>
      </c>
      <c r="G38" s="70">
        <v>5495332740.3212004</v>
      </c>
      <c r="H38" s="70">
        <v>1864614758.0703101</v>
      </c>
      <c r="I38" s="70">
        <v>111532799.42210101</v>
      </c>
      <c r="J38" s="70">
        <v>420214559.98000002</v>
      </c>
      <c r="K38" s="70">
        <v>4039896871.2800002</v>
      </c>
      <c r="L38" s="70">
        <v>1223745318.23</v>
      </c>
    </row>
    <row r="39" spans="1:12" hidden="1" x14ac:dyDescent="0.3">
      <c r="B39" s="3">
        <v>763241</v>
      </c>
      <c r="C39" s="3" t="s">
        <v>1108</v>
      </c>
      <c r="D39" s="3" t="s">
        <v>1109</v>
      </c>
      <c r="E39" s="3" t="s">
        <v>1114</v>
      </c>
      <c r="F39" s="3" t="s">
        <v>1111</v>
      </c>
      <c r="G39" s="70">
        <v>2193260345.5745902</v>
      </c>
      <c r="H39" s="70">
        <v>2567953648.5171499</v>
      </c>
      <c r="I39" s="70">
        <v>137869973.82090899</v>
      </c>
      <c r="J39" s="70">
        <v>2146811393.3699999</v>
      </c>
      <c r="K39" s="70">
        <v>0</v>
      </c>
      <c r="L39" s="70">
        <v>0</v>
      </c>
    </row>
    <row r="40" spans="1:12" hidden="1" x14ac:dyDescent="0.3">
      <c r="B40" s="3">
        <v>763241</v>
      </c>
      <c r="C40" s="3" t="s">
        <v>1108</v>
      </c>
      <c r="D40" s="3" t="s">
        <v>1109</v>
      </c>
      <c r="E40" s="3" t="s">
        <v>1114</v>
      </c>
      <c r="F40" s="3" t="s">
        <v>1112</v>
      </c>
      <c r="G40" s="70">
        <v>-2146999275.3893099</v>
      </c>
      <c r="H40" s="70">
        <v>-1824983550.9711699</v>
      </c>
      <c r="I40" s="70">
        <v>-71204841.584284499</v>
      </c>
      <c r="J40" s="70">
        <v>-2146811393.3699999</v>
      </c>
      <c r="K40" s="70">
        <v>0</v>
      </c>
      <c r="L40" s="70">
        <v>0</v>
      </c>
    </row>
    <row r="41" spans="1:12" x14ac:dyDescent="0.3">
      <c r="B41" s="3">
        <v>763241</v>
      </c>
      <c r="C41" s="3" t="s">
        <v>1108</v>
      </c>
      <c r="D41" s="3" t="s">
        <v>1109</v>
      </c>
      <c r="E41" s="3" t="s">
        <v>1114</v>
      </c>
      <c r="F41" s="3" t="s">
        <v>1113</v>
      </c>
      <c r="G41" s="70">
        <v>2146999275.3893099</v>
      </c>
      <c r="H41" s="70">
        <v>1824983550.9711699</v>
      </c>
      <c r="I41" s="70">
        <v>71204841.584284499</v>
      </c>
      <c r="J41" s="70">
        <v>2146811393.3699999</v>
      </c>
      <c r="K41" s="70">
        <v>0</v>
      </c>
      <c r="L41" s="70">
        <v>0</v>
      </c>
    </row>
    <row r="42" spans="1:12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B44" s="3" t="s">
        <v>104</v>
      </c>
      <c r="C44" s="3" t="s">
        <v>1098</v>
      </c>
      <c r="D44" s="3" t="s">
        <v>1099</v>
      </c>
      <c r="E44" s="3" t="s">
        <v>1100</v>
      </c>
      <c r="F44" s="3" t="s">
        <v>1101</v>
      </c>
      <c r="G44" s="3" t="s">
        <v>1102</v>
      </c>
      <c r="H44" s="3" t="s">
        <v>1103</v>
      </c>
      <c r="I44" s="3" t="s">
        <v>1104</v>
      </c>
      <c r="J44" s="3" t="s">
        <v>1105</v>
      </c>
      <c r="K44" s="3" t="s">
        <v>1106</v>
      </c>
      <c r="L44" s="3" t="s">
        <v>1107</v>
      </c>
    </row>
    <row r="45" spans="1:12" hidden="1" x14ac:dyDescent="0.3">
      <c r="A45" t="s">
        <v>1097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idden="1" x14ac:dyDescent="0.3">
      <c r="B46" s="3">
        <v>19479136</v>
      </c>
      <c r="C46" s="3" t="s">
        <v>1108</v>
      </c>
      <c r="D46" s="3" t="s">
        <v>1115</v>
      </c>
      <c r="E46" s="3" t="s">
        <v>1110</v>
      </c>
      <c r="F46" s="3" t="s">
        <v>1111</v>
      </c>
      <c r="G46" s="3">
        <v>5684945380.7952003</v>
      </c>
      <c r="H46" s="3">
        <v>2262362231.9547801</v>
      </c>
      <c r="I46" s="3">
        <v>122466547.174454</v>
      </c>
      <c r="J46" s="3">
        <v>420214559.98000002</v>
      </c>
      <c r="K46" s="3">
        <v>4039896871.2800002</v>
      </c>
      <c r="L46" s="3">
        <v>1444048369.1900001</v>
      </c>
    </row>
    <row r="47" spans="1:12" hidden="1" x14ac:dyDescent="0.3">
      <c r="B47" s="3">
        <v>19479136</v>
      </c>
      <c r="C47" s="3" t="s">
        <v>1108</v>
      </c>
      <c r="D47" s="3" t="s">
        <v>1115</v>
      </c>
      <c r="E47" s="3" t="s">
        <v>1110</v>
      </c>
      <c r="F47" s="3" t="s">
        <v>1112</v>
      </c>
      <c r="G47" s="3">
        <v>-5495326674.2629004</v>
      </c>
      <c r="H47" s="3">
        <v>-1742722310.2456701</v>
      </c>
      <c r="I47" s="3">
        <v>-104743193.029303</v>
      </c>
      <c r="J47" s="3">
        <v>-420214559.98000002</v>
      </c>
      <c r="K47" s="3">
        <v>-4039896871.2800002</v>
      </c>
      <c r="L47" s="3">
        <v>-1223714682.54</v>
      </c>
    </row>
    <row r="48" spans="1:12" hidden="1" x14ac:dyDescent="0.3">
      <c r="B48" s="3">
        <v>19479136</v>
      </c>
      <c r="C48" s="3" t="s">
        <v>1108</v>
      </c>
      <c r="D48" s="3" t="s">
        <v>1115</v>
      </c>
      <c r="E48" s="3" t="s">
        <v>1110</v>
      </c>
      <c r="F48" s="3" t="s">
        <v>1113</v>
      </c>
      <c r="G48" s="3">
        <v>5495326674.2629004</v>
      </c>
      <c r="H48" s="3">
        <v>1742722310.2456701</v>
      </c>
      <c r="I48" s="3">
        <v>104743193.029303</v>
      </c>
      <c r="J48" s="3">
        <v>420214559.98000002</v>
      </c>
      <c r="K48" s="3">
        <v>4039896871.2800002</v>
      </c>
      <c r="L48" s="3">
        <v>1223714682.54</v>
      </c>
    </row>
    <row r="49" spans="1:12" hidden="1" x14ac:dyDescent="0.3">
      <c r="B49" s="3">
        <v>763241</v>
      </c>
      <c r="C49" s="3" t="s">
        <v>1108</v>
      </c>
      <c r="D49" s="3" t="s">
        <v>1115</v>
      </c>
      <c r="E49" s="3" t="s">
        <v>1114</v>
      </c>
      <c r="F49" s="3" t="s">
        <v>1111</v>
      </c>
      <c r="G49" s="3">
        <v>2146823543.0881801</v>
      </c>
      <c r="H49" s="3">
        <v>2225518525.84904</v>
      </c>
      <c r="I49" s="3">
        <v>96354964.254181102</v>
      </c>
      <c r="J49" s="3">
        <v>2146811393.3699999</v>
      </c>
      <c r="K49" s="3">
        <v>0</v>
      </c>
      <c r="L49" s="3">
        <v>0</v>
      </c>
    </row>
    <row r="50" spans="1:12" hidden="1" x14ac:dyDescent="0.3">
      <c r="B50" s="3">
        <v>763241</v>
      </c>
      <c r="C50" s="3" t="s">
        <v>1108</v>
      </c>
      <c r="D50" s="3" t="s">
        <v>1115</v>
      </c>
      <c r="E50" s="3" t="s">
        <v>1114</v>
      </c>
      <c r="F50" s="3" t="s">
        <v>1112</v>
      </c>
      <c r="G50" s="3">
        <v>-2146999399.18822</v>
      </c>
      <c r="H50" s="3">
        <v>-1897625851.16572</v>
      </c>
      <c r="I50" s="3">
        <v>-72645555.204638794</v>
      </c>
      <c r="J50" s="3">
        <v>-2146811393.3699999</v>
      </c>
      <c r="K50" s="3">
        <v>0</v>
      </c>
      <c r="L50" s="3">
        <v>0</v>
      </c>
    </row>
    <row r="51" spans="1:12" x14ac:dyDescent="0.3">
      <c r="B51" s="3">
        <v>763241</v>
      </c>
      <c r="C51" s="3" t="s">
        <v>1108</v>
      </c>
      <c r="D51" s="3" t="s">
        <v>1115</v>
      </c>
      <c r="E51" s="3" t="s">
        <v>1114</v>
      </c>
      <c r="F51" s="3" t="s">
        <v>1113</v>
      </c>
      <c r="G51" s="3">
        <v>2146999399.18822</v>
      </c>
      <c r="H51" s="3">
        <v>1897625851.16572</v>
      </c>
      <c r="I51" s="3">
        <v>72645555.204638794</v>
      </c>
      <c r="J51" s="3">
        <v>2146811393.3699999</v>
      </c>
      <c r="K51" s="3">
        <v>0</v>
      </c>
      <c r="L51" s="3">
        <v>0</v>
      </c>
    </row>
    <row r="52" spans="1:12" x14ac:dyDescent="0.3">
      <c r="A52" t="s">
        <v>1508</v>
      </c>
      <c r="B52" s="3"/>
      <c r="C52" s="3"/>
      <c r="D52" s="3"/>
      <c r="E52" s="3"/>
      <c r="F52" s="3"/>
      <c r="G52" s="70">
        <f>G51-G41</f>
        <v>123.79891014099121</v>
      </c>
      <c r="H52" s="70">
        <f t="shared" ref="H52:K52" si="0">H51-H41</f>
        <v>72642300.194550037</v>
      </c>
      <c r="I52" s="70">
        <f t="shared" si="0"/>
        <v>1440713.6203542948</v>
      </c>
      <c r="J52" s="70">
        <f t="shared" si="0"/>
        <v>0</v>
      </c>
      <c r="K52" s="70">
        <f t="shared" si="0"/>
        <v>0</v>
      </c>
      <c r="L52" s="3"/>
    </row>
    <row r="54" spans="1:12" x14ac:dyDescent="0.3">
      <c r="G54" s="4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B396-76C7-46E4-942B-4BA5284FBF92}">
  <dimension ref="A2:BG28"/>
  <sheetViews>
    <sheetView workbookViewId="0">
      <selection activeCell="E30" sqref="E30"/>
    </sheetView>
  </sheetViews>
  <sheetFormatPr defaultColWidth="8.77734375" defaultRowHeight="14.4" x14ac:dyDescent="0.3"/>
  <cols>
    <col min="3" max="3" width="52.77734375" bestFit="1" customWidth="1"/>
    <col min="4" max="4" width="40.6640625" bestFit="1" customWidth="1"/>
    <col min="5" max="5" width="21.6640625" bestFit="1" customWidth="1"/>
    <col min="6" max="6" width="15" bestFit="1" customWidth="1"/>
    <col min="7" max="7" width="18.33203125" bestFit="1" customWidth="1"/>
    <col min="8" max="9" width="9.88671875" bestFit="1" customWidth="1"/>
    <col min="10" max="10" width="9.109375" bestFit="1" customWidth="1"/>
    <col min="11" max="11" width="8.6640625" bestFit="1" customWidth="1"/>
    <col min="12" max="12" width="28.33203125" bestFit="1" customWidth="1"/>
    <col min="13" max="13" width="26.44140625" bestFit="1" customWidth="1"/>
    <col min="14" max="14" width="8.6640625" bestFit="1" customWidth="1"/>
    <col min="15" max="15" width="11.6640625" bestFit="1" customWidth="1"/>
    <col min="16" max="16" width="11.109375" bestFit="1" customWidth="1"/>
    <col min="17" max="17" width="7.33203125" bestFit="1" customWidth="1"/>
    <col min="18" max="18" width="9.6640625" bestFit="1" customWidth="1"/>
  </cols>
  <sheetData>
    <row r="2" spans="1:59" x14ac:dyDescent="0.3">
      <c r="B2" s="1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59" x14ac:dyDescent="0.3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59" x14ac:dyDescent="0.3"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x14ac:dyDescent="0.3">
      <c r="C6" s="4"/>
      <c r="U6" s="3"/>
      <c r="V6" s="3"/>
      <c r="W6" s="3"/>
      <c r="X6" s="3"/>
      <c r="Y6" s="3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5"/>
      <c r="BF6" s="3"/>
      <c r="BG6" s="3"/>
    </row>
    <row r="7" spans="1:59" x14ac:dyDescent="0.3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8"/>
      <c r="Q7" s="9"/>
      <c r="R7" s="6"/>
    </row>
    <row r="8" spans="1:59" x14ac:dyDescent="0.3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1"/>
      <c r="P8" s="12"/>
      <c r="Q8" s="10"/>
      <c r="R8" s="10"/>
    </row>
    <row r="9" spans="1:59" s="18" customFormat="1" x14ac:dyDescent="0.3">
      <c r="A9"/>
      <c r="B9"/>
      <c r="C9" s="13"/>
      <c r="D9" s="14"/>
      <c r="E9" s="15"/>
      <c r="F9" s="15"/>
      <c r="G9" s="15"/>
      <c r="H9" s="16"/>
      <c r="I9" s="16"/>
      <c r="J9" s="16"/>
      <c r="K9" s="16"/>
      <c r="L9" s="17"/>
      <c r="M9" s="17"/>
      <c r="N9" s="11"/>
      <c r="O9" s="11"/>
      <c r="P9" s="13"/>
      <c r="Q9" s="13"/>
      <c r="R9" s="13"/>
    </row>
    <row r="10" spans="1:59" s="18" customFormat="1" x14ac:dyDescent="0.3">
      <c r="C10" s="13"/>
      <c r="D10" s="14"/>
      <c r="E10" s="15"/>
      <c r="F10" s="15"/>
      <c r="G10" s="15"/>
      <c r="H10" s="16"/>
      <c r="I10" s="16"/>
      <c r="J10" s="16"/>
      <c r="K10" s="16"/>
      <c r="L10" s="16"/>
      <c r="M10" s="16"/>
      <c r="N10" s="11"/>
      <c r="O10" s="11"/>
      <c r="P10" s="13"/>
      <c r="Q10" s="13"/>
      <c r="R10" s="13"/>
    </row>
    <row r="11" spans="1:59" x14ac:dyDescent="0.3"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3" spans="1:59" x14ac:dyDescent="0.3">
      <c r="C13" s="19" t="s">
        <v>20</v>
      </c>
    </row>
    <row r="14" spans="1:59" x14ac:dyDescent="0.3"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59" x14ac:dyDescent="0.3">
      <c r="C15" s="20" t="s">
        <v>21</v>
      </c>
    </row>
    <row r="16" spans="1:59" ht="14.4" customHeight="1" x14ac:dyDescent="0.3"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3:16" x14ac:dyDescent="0.3">
      <c r="C17" s="20" t="s">
        <v>22</v>
      </c>
    </row>
    <row r="18" spans="3:16" x14ac:dyDescent="0.3"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3:16" x14ac:dyDescent="0.3">
      <c r="C19" s="20" t="s">
        <v>23</v>
      </c>
    </row>
    <row r="20" spans="3:16" x14ac:dyDescent="0.3"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3:16" x14ac:dyDescent="0.3"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" t="s">
        <v>24</v>
      </c>
      <c r="D22" s="22"/>
      <c r="E22" s="2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8" spans="3:16" x14ac:dyDescent="0.3">
      <c r="C28" s="2" t="s"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mergeCells count="4">
    <mergeCell ref="D14:N14"/>
    <mergeCell ref="D16:P16"/>
    <mergeCell ref="D18:P18"/>
    <mergeCell ref="D20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results summary</vt:lpstr>
      <vt:lpstr>cl_dpd bankrupt ind logic</vt:lpstr>
      <vt:lpstr>cl_dpd_ahc</vt:lpstr>
      <vt:lpstr>contract_loan_dpd regress</vt:lpstr>
      <vt:lpstr> upl_bh_score_model logic</vt:lpstr>
      <vt:lpstr>upl_bh_sc_model_reg</vt:lpstr>
      <vt:lpstr> main_UPL_driver</vt:lpstr>
      <vt:lpstr>UPL PRA model logic- regression</vt:lpstr>
      <vt:lpstr>UPL PRA model vs  Methodology </vt:lpstr>
      <vt:lpstr>RRDS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Ioannides, Maryanne</dc:creator>
  <cp:lastModifiedBy>Ioannides, Maryanne</cp:lastModifiedBy>
  <dcterms:created xsi:type="dcterms:W3CDTF">2025-03-19T18:46:21Z</dcterms:created>
  <dcterms:modified xsi:type="dcterms:W3CDTF">2025-04-14T15:15:23Z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2025-03-19T18:46:47Z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0213d994-e8d7-4e49-825f-db0ced60319e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