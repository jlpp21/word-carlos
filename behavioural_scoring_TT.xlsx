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antandernet-my.sharepoint.com/personal/celia_escudero_santander_co_uk/Documents/MROO/FIDs/Narrative/Submission/"/>
    </mc:Choice>
  </mc:AlternateContent>
  <xr:revisionPtr revIDLastSave="0" documentId="8_{D06DDA35-BB87-4B60-974F-FF8D26A58A91}" xr6:coauthVersionLast="47" xr6:coauthVersionMax="47" xr10:uidLastSave="{00000000-0000-0000-0000-000000000000}"/>
  <bookViews>
    <workbookView xWindow="-110" yWindow="-110" windowWidth="19420" windowHeight="10300" xr2:uid="{C80BD8DF-CA4E-4462-AE11-D8746F08DBFD}"/>
  </bookViews>
  <sheets>
    <sheet name="Sheet1" sheetId="1" r:id="rId1"/>
  </sheets>
  <definedNames>
    <definedName name="_xlnm._FilterDatabase" localSheetId="0" hidden="1">Sheet1!$A$2:$W$63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5" i="1" l="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Carter, Paul (Santander)</author>
  </authors>
  <commentList>
    <comment ref="N38" authorId="0" shapeId="0" xr:uid="{11AE1C47-DCAB-408A-98E1-E8B9DB38FF18}">
      <text>
        <r>
          <rPr>
            <b/>
            <sz val="9"/>
            <color indexed="81"/>
            <rFont val="Tahoma"/>
            <family val="2"/>
          </rPr>
          <t>Carter, Paul (Santander):</t>
        </r>
        <r>
          <rPr>
            <sz val="9"/>
            <color indexed="81"/>
            <rFont val="Tahoma"/>
            <family val="2"/>
          </rPr>
          <t xml:space="preserve">
There is no concept of a Primary Customer in PCCM</t>
        </r>
      </text>
    </comment>
  </commentList>
</comments>
</file>

<file path=xl/sharedStrings.xml><?xml version="1.0" encoding="utf-8"?>
<sst xmlns="http://schemas.openxmlformats.org/spreadsheetml/2006/main" count="949" uniqueCount="338">
  <si>
    <t>Table / View name:</t>
  </si>
  <si>
    <t>behavioural_scoring_partitions</t>
  </si>
  <si>
    <t>AS IS FIDS</t>
  </si>
  <si>
    <t>GDPR - Mandatory Field; Refer GDPR Guidance Sheet</t>
  </si>
  <si>
    <t>GDPR - Conditional Field -Refer GDPR Guidance sheet</t>
  </si>
  <si>
    <t xml:space="preserve">TO BE PCCM </t>
  </si>
  <si>
    <t>Seq</t>
  </si>
  <si>
    <t>Target Field</t>
  </si>
  <si>
    <t>Field Description</t>
  </si>
  <si>
    <t>Sensitive</t>
  </si>
  <si>
    <t>Target Field Format</t>
  </si>
  <si>
    <t>Target Database</t>
  </si>
  <si>
    <t>Source Field</t>
  </si>
  <si>
    <t>Source Table</t>
  </si>
  <si>
    <t>Source Database</t>
  </si>
  <si>
    <t>Transformation logic</t>
  </si>
  <si>
    <t>GDPR Personal Data</t>
  </si>
  <si>
    <t>GDPR Sensitive Personal data Flag</t>
  </si>
  <si>
    <t>sunsetting changes</t>
  </si>
  <si>
    <t>Transformation</t>
  </si>
  <si>
    <t xml:space="preserve">used in </t>
  </si>
  <si>
    <t>banking model usage</t>
  </si>
  <si>
    <t>upl model usage</t>
  </si>
  <si>
    <t>comment</t>
  </si>
  <si>
    <t>date_processed</t>
  </si>
  <si>
    <t>Date Processed</t>
  </si>
  <si>
    <t>Y</t>
  </si>
  <si>
    <t>string</t>
  </si>
  <si>
    <t>retail_decisioning_enriched</t>
  </si>
  <si>
    <t>N/A</t>
  </si>
  <si>
    <t>select max(date_processed) from   _enriched.behavioural_scoring_partitions</t>
  </si>
  <si>
    <t>No</t>
  </si>
  <si>
    <t>PK</t>
  </si>
  <si>
    <t>account_reference</t>
  </si>
  <si>
    <t>Account Number</t>
  </si>
  <si>
    <t>actnum</t>
  </si>
  <si>
    <t>bscoring_prd645b</t>
  </si>
  <si>
    <t xml:space="preserve">  </t>
  </si>
  <si>
    <t>Direct mapping</t>
  </si>
  <si>
    <t>Yes</t>
  </si>
  <si>
    <t>retail_decisioning</t>
  </si>
  <si>
    <t>contract_id</t>
  </si>
  <si>
    <t>Contract Indicator</t>
  </si>
  <si>
    <t>cointloc_e1243_idempr,
cointloc_e1243_idcent,
cointloc_e1243_idprod,
cointloc_e1243_idcontr</t>
  </si>
  <si>
    <t>coint_ctolocal_partitions</t>
  </si>
  <si>
    <t>retail_contracts</t>
  </si>
  <si>
    <t>concat(trim(col("cointloc_e1243_idempr")),
       trim(col("cointloc_e1243_idcent")),
       trim(col("cointloc_e1243_idprod")),
       trim(col("cointloc_e1243_idcontr")))</t>
  </si>
  <si>
    <t>PRA / ES / ECB</t>
  </si>
  <si>
    <t>y</t>
  </si>
  <si>
    <t>avge_cto_3_mnth_amt</t>
  </si>
  <si>
    <t>Average Credit Turnover (CTO): average credit balance over the last 3 months.</t>
  </si>
  <si>
    <t>decimal(17,2)</t>
  </si>
  <si>
    <t>act03m</t>
  </si>
  <si>
    <t>(col("behavScoreSource_act03m")/100).cast("decimal(17,2)")</t>
  </si>
  <si>
    <t>avg_cto_l3m</t>
  </si>
  <si>
    <t>pccm_OTCARECA_partitions</t>
  </si>
  <si>
    <t>direct mapping</t>
  </si>
  <si>
    <t>RBDR decom</t>
  </si>
  <si>
    <t>avge_cto_6_mnth_amt</t>
  </si>
  <si>
    <t>Average Credit Turnover (CTO): average credit balance over the last 6 months.</t>
  </si>
  <si>
    <t>decimal(9,2)</t>
  </si>
  <si>
    <t>acto6m</t>
  </si>
  <si>
    <t>(col("behavScoreSource_acto6m")/100).cast("decimal(9,2)")</t>
  </si>
  <si>
    <t>not available</t>
  </si>
  <si>
    <t>dormant_days_cnt</t>
  </si>
  <si>
    <t>Dormant days count is the lower of the following 2 values : Number of days since last significant credit transaction occurred and number of continuous days without any debit transactions at month end.</t>
  </si>
  <si>
    <t>decimal(6)</t>
  </si>
  <si>
    <t>drmday</t>
  </si>
  <si>
    <t>(col("behavScoreSource_drmday")).cast("decimal(6,0)" )</t>
  </si>
  <si>
    <t>number_days_credit_dormant</t>
  </si>
  <si>
    <t>pccm_ca_banking_input_partitions</t>
  </si>
  <si>
    <t>RBDR decom, IRFS9</t>
  </si>
  <si>
    <t>IFRS9 requirement</t>
  </si>
  <si>
    <t>min_cto_last_12_mnth_amt</t>
  </si>
  <si>
    <t>Minimum Credit Turnover (CTO) over the last 12 months.</t>
  </si>
  <si>
    <t>mcto12</t>
  </si>
  <si>
    <t>(col("behavScoreSource_mcto12")/100).cast("decimal(17,2)")</t>
  </si>
  <si>
    <t>stdev_days_since_cr_3_mnth_val</t>
  </si>
  <si>
    <t>Standard deviation of number of days since last significant credit transaction occurred over the last 3 months.</t>
  </si>
  <si>
    <t xml:space="preserve">std_days_since_crl3m </t>
  </si>
  <si>
    <t>(col("behavScoreSource_std_days_since_crl3m")).cast("decimal(6,0)")</t>
  </si>
  <si>
    <t>avge_dr_12_mnth_cnt</t>
  </si>
  <si>
    <t>Average Debit over the last 12 months.</t>
  </si>
  <si>
    <t xml:space="preserve">avg_drl12m  </t>
  </si>
  <si>
    <t>(col("behavScoreSource_avg_drl12m")).cast("decimal(6,0)")</t>
  </si>
  <si>
    <t>number_of_debits</t>
  </si>
  <si>
    <t>pccm_ca_banking_input_partitions </t>
  </si>
  <si>
    <t>average( number_of_debits )where monthend date_processed in last 12 months (including current month). Note only monthend dates to be used, files between monthends are incremental and should not be used.</t>
  </si>
  <si>
    <t>banking driver</t>
  </si>
  <si>
    <t>ECB</t>
  </si>
  <si>
    <t>total_cto_3_mnth_amt</t>
  </si>
  <si>
    <t>Total Credit Turnover (CTO): all credit transaction over the last 3 months.</t>
  </si>
  <si>
    <t>per_cto1
per_cto2
per_cto3</t>
  </si>
  <si>
    <t>IF(per_cto1 &lt; -999990,0.00, CAST((per_cto1/100) AS DECIMAL(17,2))) +  IF(per_cto2 &lt; -999990,0.00, CAST((per_cto2/100) AS DECIMAL(17,2))) + IF(per_cto3 &lt; -999990,0.00, CAST((per_cto3/100) AS DECIMAL(17,2)))</t>
  </si>
  <si>
    <t>avge_dto_6_mnth_amt</t>
  </si>
  <si>
    <t>Average Debit Turnover (CTO)  over the last 6 months.</t>
  </si>
  <si>
    <t>adto6m</t>
  </si>
  <si>
    <t>(col("behavScoreSource_adto6m")/100).cast("decimal(17,2)")</t>
  </si>
  <si>
    <t>cto_in_period_amt</t>
  </si>
  <si>
    <t>Credit Turnover (CTO): all credit transaction during last month.</t>
  </si>
  <si>
    <t xml:space="preserve">per_cto   </t>
  </si>
  <si>
    <t>(col("behavScoreSource_per_cto")/100).cast("decimal(17,2)")</t>
  </si>
  <si>
    <t>credit_turnover_cto_by_definition_1</t>
  </si>
  <si>
    <t>banking driver, IRFS9</t>
  </si>
  <si>
    <t>max_cr_6_mnth_cnt</t>
  </si>
  <si>
    <t>Maximum number of credits in a month, over the last 6 months.</t>
  </si>
  <si>
    <t>maxcr6</t>
  </si>
  <si>
    <t>(col("behavScoreSource_maxcr6")/100).cast("decimal(9,2)")</t>
  </si>
  <si>
    <t xml:space="preserve">number_of_credits_cto1 </t>
  </si>
  <si>
    <t>max (number_of_credits_cto1) where date_processed in last 6 months (include current month).  Note only monthend dates to be used, files from PCCM between monthends are incremental and should not be used.</t>
  </si>
  <si>
    <t>dto_in_period_amt</t>
  </si>
  <si>
    <t>Debit Turnover (DTO): all debit transaction during last month.</t>
  </si>
  <si>
    <t xml:space="preserve">per_dto     </t>
  </si>
  <si>
    <t>(col("behavScoreSource_per_dto")/100).cast("decimal(17,2)")</t>
  </si>
  <si>
    <t>value_of_debits</t>
  </si>
  <si>
    <t>PRA / ES / ECB(loaded not used)</t>
  </si>
  <si>
    <t>max_beh_score_odft_amt</t>
  </si>
  <si>
    <t>Maximum overdraft amount during last month.</t>
  </si>
  <si>
    <t>maxbho</t>
  </si>
  <si>
    <t>(col("behavScoreSource_maxbho")/100).cast("decimal(17,2)")</t>
  </si>
  <si>
    <t>new_performance_id</t>
  </si>
  <si>
    <t>New Performance ID - Segments accounts into performance groups which are subsequnetly used in assignment of good/bad indicators.</t>
  </si>
  <si>
    <t>decimal(2)</t>
  </si>
  <si>
    <t>nperfid</t>
  </si>
  <si>
    <t>(col("behavScoreSource_nperfid")).cast("decimal(2,0)")</t>
  </si>
  <si>
    <t>max_mths_excess_12_mnth_cnt</t>
  </si>
  <si>
    <t>Count of maximum months in excess for the last 12 months.</t>
  </si>
  <si>
    <t>maxmt12</t>
  </si>
  <si>
    <t>(col("behavScoreSource_maxmt12")).cast("decimal(6,0)")</t>
  </si>
  <si>
    <t>max_days_excess_12_mnth_cnt</t>
  </si>
  <si>
    <t>Count of maximum days in excess for the last 12 months.</t>
  </si>
  <si>
    <t>maxdy12</t>
  </si>
  <si>
    <t>(col("behavScoreSource_maxdy12")).cast("decimal(6,0)")</t>
  </si>
  <si>
    <t>avge_5_low_cto_6_mnth_amt</t>
  </si>
  <si>
    <t>Average of 5 lowest monthly Credit Turnover (CTO) values over the last 6 months.</t>
  </si>
  <si>
    <t>avgcto</t>
  </si>
  <si>
    <t>(col("behavScoreSource_avgcto")/100).cast("decimal(17,2)")</t>
  </si>
  <si>
    <t>overdraft_excess_days_cnt</t>
  </si>
  <si>
    <t>Overdraft cumulative days in excess count.</t>
  </si>
  <si>
    <t xml:space="preserve">ovd_excs_days_cnt    </t>
  </si>
  <si>
    <t>(col("behavScoreSource_ovd_excs_days_cnt   ")).cast("decimal(6,0)")</t>
  </si>
  <si>
    <t>number_days_in_excess</t>
  </si>
  <si>
    <t>last_sgnft_cr_trn_days_cnt</t>
  </si>
  <si>
    <t>Last significant credit turnover (nr. Of days) count.</t>
  </si>
  <si>
    <t xml:space="preserve">last_sig_cr_days     </t>
  </si>
  <si>
    <t>(col("behavScoreSource_last_sig_cr_days")).cast("decimal(6,0)")</t>
  </si>
  <si>
    <t>overdraft_excess_amt</t>
  </si>
  <si>
    <t>Overdraft Excess Amount</t>
  </si>
  <si>
    <t xml:space="preserve">ovd_excs_days_amt    </t>
  </si>
  <si>
    <t>(col("behavScoreSource_ovd_excs_days_amt")/100).cast("decimal(17,2)")</t>
  </si>
  <si>
    <t>excess_amount</t>
  </si>
  <si>
    <t>min_bal_in_period_amt</t>
  </si>
  <si>
    <t>Latest minimum balance during last month.</t>
  </si>
  <si>
    <t>minbalm</t>
  </si>
  <si>
    <t>(col("behavScoreSource_minbalm")/100).cast("decimal(17,2)")</t>
  </si>
  <si>
    <t>minimum_balance</t>
  </si>
  <si>
    <t>pccm_OTCACADS_partitions</t>
  </si>
  <si>
    <t>time_on_books_mnth_cnt</t>
  </si>
  <si>
    <t>Time on books (nr. of months) count</t>
  </si>
  <si>
    <t xml:space="preserve">time_on_books_mth    </t>
  </si>
  <si>
    <t>(col("behavScoreSource_time_on_books_mth")).cast("decimal(6,0)")</t>
  </si>
  <si>
    <t>TIME_ON_BOOK</t>
  </si>
  <si>
    <t>banking driver
UPL</t>
  </si>
  <si>
    <t>fids_account_status</t>
  </si>
  <si>
    <t>FIDS (EY Fraud Investigation and Dispute Services) account status last month.</t>
  </si>
  <si>
    <t>accsts</t>
  </si>
  <si>
    <t>(col("behavScoreSource_accsts")).cast("decimal(2,0)")</t>
  </si>
  <si>
    <t>upl</t>
  </si>
  <si>
    <t>highest_card_typ</t>
  </si>
  <si>
    <t>Highest Card Type</t>
  </si>
  <si>
    <t>decimal(1)</t>
  </si>
  <si>
    <t>card_type</t>
  </si>
  <si>
    <t>(col("behavScoreSource_card_type")).cast("decimal(2,0)")</t>
  </si>
  <si>
    <t>behaviour_score_value</t>
  </si>
  <si>
    <t>Behaviour Score Value (The PLIB scorecard is a behavioural scorecard designed to set PLIB amounts (preferred loan in branch or guaranteed loan) for bank account customers. The higher the score, the lower the likelihood that the customer will go bad on taking out a UPL).</t>
  </si>
  <si>
    <t>decimal(9)</t>
  </si>
  <si>
    <t>(col("behavScoreSource_behaviour_score_value")).cast("decimal(9,0)")</t>
  </si>
  <si>
    <t xml:space="preserve">current_account_behaviour_score           </t>
  </si>
  <si>
    <t>behaviour_scorecard_id</t>
  </si>
  <si>
    <t>Behaviour Scorecard id</t>
  </si>
  <si>
    <t>(col("behavScoreSource_behaviour_scorecard_id")).cast("decimal(17,2)")</t>
  </si>
  <si>
    <t>CURRENT_ACCOUNT_BEHAVIOUR_SCORECARD_ID</t>
  </si>
  <si>
    <t>behaviour_score_date</t>
  </si>
  <si>
    <t>Behaviour score date</t>
  </si>
  <si>
    <t>performance_id</t>
  </si>
  <si>
    <t>Performance ID</t>
  </si>
  <si>
    <t>new_performance_id_2</t>
  </si>
  <si>
    <t>(col("behavScoreSource_new_performance_id_2")).cast("decimal(2,0)")</t>
  </si>
  <si>
    <t>spid</t>
  </si>
  <si>
    <t>Strategic Portfolio Identifier.</t>
  </si>
  <si>
    <t>(col("behavScoreSource_spid")).cast("decimal(2,0)")</t>
  </si>
  <si>
    <t>upl capital, RBDR decom</t>
  </si>
  <si>
    <t>preferred_card_type</t>
  </si>
  <si>
    <t>Preferred card available through behavioural scoring.</t>
  </si>
  <si>
    <t>card_type_preferred</t>
  </si>
  <si>
    <t>(col("behavScoreSource_card_type_preferred")).cast("decimal(6,0)")</t>
  </si>
  <si>
    <t>preferred_overdraft</t>
  </si>
  <si>
    <t>Preferred overdraft amount available through behavioural scoring.</t>
  </si>
  <si>
    <t>od_preferred_overdraft</t>
  </si>
  <si>
    <t>(col("behavScoreSource_od_preferred_overdraft")/100).cast("decimal(17,2)")</t>
  </si>
  <si>
    <t>RENEWAL_PROPOSED_LIMIT</t>
  </si>
  <si>
    <t>pccm_OTFBCARE_partitions</t>
  </si>
  <si>
    <t>max_card_type</t>
  </si>
  <si>
    <t>The maximum card type on offer in the intermediate strategy.</t>
  </si>
  <si>
    <t>card_max_type</t>
  </si>
  <si>
    <t>(col("behavScoreSource_card_max_type")).cast("decimal(6,0)")</t>
  </si>
  <si>
    <t>banking driver, RBDR decom</t>
  </si>
  <si>
    <t>pencil_limit</t>
  </si>
  <si>
    <t>Pencil Limit (it allows the customer to withdraw funds from an account over the agreed overdraft limit).</t>
  </si>
  <si>
    <t>pencillimit1</t>
  </si>
  <si>
    <t>(col("behavScoreSource_pencillimit1")).cast("decimal(6,0)")</t>
  </si>
  <si>
    <t>pencil_limit_1</t>
  </si>
  <si>
    <t>banking driver 
main_accounting</t>
  </si>
  <si>
    <t>customer_age</t>
  </si>
  <si>
    <t>Customer Age</t>
  </si>
  <si>
    <t>decimal(3)</t>
  </si>
  <si>
    <t>IF( CAST(customer_age AS DECIMAL(10,0)) = -9999998, NULL, CAST(customer_age AS DECIMAL(10,0)))</t>
  </si>
  <si>
    <t>MIN_CUST_AGE</t>
  </si>
  <si>
    <t xml:space="preserve"> pccm_OTCARECA_partitions</t>
  </si>
  <si>
    <t>avge_balance</t>
  </si>
  <si>
    <t>Average balance during last month.</t>
  </si>
  <si>
    <t>(col("behavScoreSource_avge_balance")/100).cast("decimal(17,2)")</t>
  </si>
  <si>
    <t>average_daily_balance</t>
  </si>
  <si>
    <t>max_balance</t>
  </si>
  <si>
    <t>Maximum balance during last month.</t>
  </si>
  <si>
    <t>(col("behavScoreSource_max_balance")/100).cast("decimal(17,2)")</t>
  </si>
  <si>
    <t>min_overdraft_utilisation</t>
  </si>
  <si>
    <t>Minimum Overdraft utilisation</t>
  </si>
  <si>
    <t>(col("behavScoreSource_min_overdraft_utilisation")/100).cast("decimal(17,2)")</t>
  </si>
  <si>
    <t>P+F for gen1 IFRS9 models
IRB3.1 to be</t>
  </si>
  <si>
    <t>Required in future</t>
  </si>
  <si>
    <t>debits_in_current_mnth_cnt</t>
  </si>
  <si>
    <t>Number of debits in current month.</t>
  </si>
  <si>
    <t>decimal(5)</t>
  </si>
  <si>
    <t>IF( CAST(DEBITS_IN_CURRENT_MNTH_CNT AS DECIMAL(10,0)) = -9999998, NULL, IF( CAST(DEBITS_IN_CURRENT_MNTH_CNT AS DECIMAL(10,0)) &gt; 99999, 99999, CAST(DEBITS_IN_CURRENT_MNTH_CNT AS DECIMAL(10,0))))</t>
  </si>
  <si>
    <t>min_min_bal_last_6_mnth_amt</t>
  </si>
  <si>
    <t>Lowest minimum balance over the last 6 months.</t>
  </si>
  <si>
    <t>min_minimumbalance_l6m</t>
  </si>
  <si>
    <t>(col("behavScoreSource_min_minimumbalance_l6m")/100).cast("decimal(17,2)")</t>
  </si>
  <si>
    <t>min_dto_last_6_mnth_amt</t>
  </si>
  <si>
    <t>Lowest Debit Turnover (DTO) over the last 6 months.</t>
  </si>
  <si>
    <t>min_dto_l6m</t>
  </si>
  <si>
    <t xml:space="preserve">(col("behavScoreSource_min_dto_l6m")/100).cast("decimal(17,2)") </t>
  </si>
  <si>
    <t>max_cto_last_6_mnth_amt</t>
  </si>
  <si>
    <t>Highest Credit Turnover (CTO) over the last 6 months.</t>
  </si>
  <si>
    <t>max_cto_l6m</t>
  </si>
  <si>
    <t>(col("behavScoreSource_max_cto_l6m")/100).cast("decimal(17,2)")</t>
  </si>
  <si>
    <t>MAX_CTO_L6M</t>
  </si>
  <si>
    <t>OTCARECA</t>
  </si>
  <si>
    <t>exclusion_rsn_cde</t>
  </si>
  <si>
    <t xml:space="preserve">Identifies whether an account will run down a Valid strategy (code 0) or the Exclusion strategy (codes 1-4). </t>
  </si>
  <si>
    <t>score_segment_exclusion_rc</t>
  </si>
  <si>
    <t>(col("behavScoreSource_score_segment_exclusion_rc")).cast("decimal(12,2)")</t>
  </si>
  <si>
    <t>fids_risk_score</t>
  </si>
  <si>
    <t>Current month FIDS (EY Fraud Investigation and Dispute Services) Risk Score</t>
  </si>
  <si>
    <t>riskscore</t>
  </si>
  <si>
    <t>(col("behavScoreSource_riskscore")).cast("decimal(7,0)")</t>
  </si>
  <si>
    <t>CURRENT_ACCOUNT_BEHAVIOUR_SCORE</t>
  </si>
  <si>
    <t>max_days_excess_1</t>
  </si>
  <si>
    <t>Maximum consecutive days in excess last month.</t>
  </si>
  <si>
    <t>maxdaysexcsmth_1</t>
  </si>
  <si>
    <t>(col("behavScoreSource_maxdaysexcsmth_1")).cast("decimal(7,0)")</t>
  </si>
  <si>
    <t>maximum_consecutive_number_of_days_in_excess</t>
  </si>
  <si>
    <t>max_days_excess_2</t>
  </si>
  <si>
    <t>Maximum consecutive days in excess 2 months ago</t>
  </si>
  <si>
    <t>maxdaysexcsmth_2</t>
  </si>
  <si>
    <t>(col("behavScoreSource_maxdaysexcsmth_2")).cast("decimal(7,0)")</t>
  </si>
  <si>
    <t>maximum_consecutive_number_of_days_in_excess -1months</t>
  </si>
  <si>
    <t>maximum_consecutive_number_of_days_in_excess where date_process -1 month</t>
  </si>
  <si>
    <t>maximum_consecutive_number_of_days_in_excess where date_process -1month</t>
  </si>
  <si>
    <t>use same logic as in current code to derive</t>
  </si>
  <si>
    <t>max_days_excess_3</t>
  </si>
  <si>
    <t>Maximum consecutive days in excess 3 months ago</t>
  </si>
  <si>
    <t>maxdaysexcsmth_3</t>
  </si>
  <si>
    <t>(col("behavScoreSource_maxdaysexcsmth_3")).cast("decimal(6,0)")</t>
  </si>
  <si>
    <t>maximum_consecutive_number_of_days_in_excess -2 months#</t>
  </si>
  <si>
    <t>maximum_consecutive_number_of_days_in_excess where date_process -2 month</t>
  </si>
  <si>
    <t>excess_amt</t>
  </si>
  <si>
    <t>This uses month end balance and the Overdraft limit and is therefore the excess value at month end.</t>
  </si>
  <si>
    <t>excessamount</t>
  </si>
  <si>
    <t>(col("behavScoreSource_excessamount")/100).cast("decimal(17,2)")</t>
  </si>
  <si>
    <t>written_off_amt</t>
  </si>
  <si>
    <t>Written Off Amount</t>
  </si>
  <si>
    <t>writeoffamount</t>
  </si>
  <si>
    <t>(col("behavScoreSource_writeoffamount")/100).cast("decimal(17,2)")</t>
  </si>
  <si>
    <t xml:space="preserve">write_off_amount                </t>
  </si>
  <si>
    <t>delphi_bankruptcy_ind</t>
  </si>
  <si>
    <t>Delphi bankruptcy indicator (behavioural credit bureau risk scorecard developed by Experian-Scorex).</t>
  </si>
  <si>
    <t>dcm_bankruptcy_detected_s</t>
  </si>
  <si>
    <t xml:space="preserve">non_discharged_bankruptcy_flag     </t>
  </si>
  <si>
    <t>upl capital, RBDR decom, IRFS9</t>
  </si>
  <si>
    <t>Need to review if should use bureau_reference_partitions or PCCM definition</t>
  </si>
  <si>
    <t>partenon_sub_product</t>
  </si>
  <si>
    <t>Partenon Sub Product</t>
  </si>
  <si>
    <t>partenon_subproduct</t>
  </si>
  <si>
    <t>banking_score</t>
  </si>
  <si>
    <t>Banking score. The behavioural scorecard is designed to set PLI(The PLIB scorecard is a behavioural scorecard designed to set PLIB amounts (preferred loan in branch or guaranteed loan)) amounts for bank account customers. The higher the score, the lower the likelihood that the customer will go bad on taking out a UPL.</t>
  </si>
  <si>
    <t>time_on_books_mth
spid
accsts
riskscore
score_segment_exclusion_rc
behaviour_scorecard_id
partenon_subproduct
customer_age
dcm_bankruptcy_detected_s
writeoffamount
excessamount
maxdaysexcsmth_1
maxdaysexcsmth_2
maxdaysexcsmth_3
behaviour_score_value</t>
  </si>
  <si>
    <t>IF( time_on_books_mth = 0 or time_on_books_mth = 1, 1, null) as v_months_on_book 
IF(  spid = 2 or accsts = 0  or
         accsts = 3  or riskscore = 1 or
         riskscore = 2 or score_segment_exclusion_rc =  1 or
         score_segment_exclusion_rc = 2  or writeoffamount &gt; 0 or
          behaviour_scorecard_id = 67 or behaviour_scorecard_id = 68, 2, null) as v_written_off_or_closed
IF( partenon_subproduct = '725',3,null) as v_government_dormant
IF(accsts = 5 ,4, null) as v_security_investigation
IF(dcm_bankruptcy_detected_s = 'Y',5,null) as v_bankrupt
IF( partenon_subproduct = '730',6,null) as v_model_office
IF(customer_age &lt; 18,7,null) as v_under_18
IF( spid &lt;&gt; 1 and spid &lt;&gt; 2,8,null) as v_non_adult
IF (  (dcm_bankruptcy_detected_s ='Y') or  (writeoffamount &gt; 0 or accsts = 3 ) or
      (excessamount &gt; 0 and excessamount &lt; 10 and (maxdaysexcsmth_1 + maxdaysexcsmth_2 +  maxdaysexcsmth_3) &gt;= 89) or
      (excessamount &gt;=10 and maxdaysexcsmth_1 &gt;=28),1, null) as v_bad_bank_accounts
IF( behaviour_scorecard_id = 69, 1, null) as v_late_collections
IF( behaviour_scorecard_id = 610, 1, null) as v_dormant_accounts  
IF(  ( v_months_on_book is not null or v_written_off_or_closed is not null or
        v_government_dormant is not null or v_security_investigation is not null or
        v_bankrupt is not null or   v_model_office is not null or    v_under_18 is not null or
        v_non_adult is not null), -999999, IF( v_bad_bank_accounts is not null,-9,
       IF( v_late_collections is not null,-8, IF( v_dormant_accounts is not null,-7,behaviour_score_value )))) as banking_score</t>
  </si>
  <si>
    <t>account_status
time_on_book
product_grouping
min_cust_age
deceased_flag
scorecard_cdormancy_flag
scorecard_bad_flag
scorecard_colls_exclusion_flag
current_account_behaviour_score</t>
  </si>
  <si>
    <t>pccm_OTCARECA_partitions reca
pccm_OTCACADS_partitions cads</t>
  </si>
  <si>
    <t xml:space="preserve">case
when reca.ACCOUNT_STATUS in ('C','W') or
reca.time_on_book &lt; 2 or
reca.product_grouping != 'Adult Credit' or
reca.min_cust_age &lt; 18
or reca.deceased_flag = 'Y' then -999999
when reca.scorecard_dormancy_flag = 'Y' then -7
when reca.scorecard_bad_flag = 'Y' then -9
when reca.SCORECARD_COLLS_EXCLUSION_FLAG = 'Y' then -8
else cads.CURRENT_ACCOUNT_BEHAVIOUR_SCORE
end as banking_score_test
from 
retail_decisioning.pccm_OTCARECA_partitions reca
left join retail_decisioning.pccm_otcacads_partitions cads
on cads.contract_reference = reca.contract_reference
where reca.date_processed = '2024-06-30' and
cads.date_processed = '2024-06-30' </t>
  </si>
  <si>
    <t>upl driver</t>
  </si>
  <si>
    <t>account_status</t>
  </si>
  <si>
    <t>pccm_OTCARECA_partitions or otcacads</t>
  </si>
  <si>
    <t>UPL new</t>
  </si>
  <si>
    <t>NEW COLUMNS FROM PCCM</t>
  </si>
  <si>
    <t>product_grouping</t>
  </si>
  <si>
    <t>deceased_flag</t>
  </si>
  <si>
    <t xml:space="preserve"> scorecard_dormancy_flag                          </t>
  </si>
  <si>
    <t xml:space="preserve">scorecard_dormancy_flag                          </t>
  </si>
  <si>
    <t xml:space="preserve"> scorecard_bad_flag                               </t>
  </si>
  <si>
    <t xml:space="preserve">scorecard_bad_flag                               </t>
  </si>
  <si>
    <t xml:space="preserve">SCORECARD_COLLS_EXCLUSION_FLAG </t>
  </si>
  <si>
    <t>behaviour_score_value_ecb</t>
  </si>
  <si>
    <t xml:space="preserve"> ECB</t>
  </si>
  <si>
    <t>behaviour_scorecard_id_ecb</t>
  </si>
  <si>
    <t>ECB(loaded not used)</t>
  </si>
  <si>
    <t>no of fields in table loaded from FIDS</t>
  </si>
  <si>
    <t>new inputs</t>
  </si>
  <si>
    <t xml:space="preserve">  .OTCACADS_partitions</t>
  </si>
  <si>
    <t xml:space="preserve">  .pccm_ca_banking_input_partitions</t>
  </si>
  <si>
    <t xml:space="preserve">  .OTCARECA_partitions</t>
  </si>
  <si>
    <t xml:space="preserve">  .OTFBCARE_partitions</t>
  </si>
  <si>
    <t>retail_decsioning.OTCARECA_partitions</t>
  </si>
  <si>
    <t>delphi v11</t>
  </si>
  <si>
    <t>FIDS data loaded to behavioural_scoring_partitions table</t>
  </si>
  <si>
    <t>53 Fields</t>
  </si>
  <si>
    <t>primary key</t>
  </si>
  <si>
    <t>not used by Capital</t>
  </si>
  <si>
    <t>used by capital</t>
  </si>
  <si>
    <t>used by capital Banking of which</t>
  </si>
  <si>
    <t>1 field does not exist in PCCM (max card type)</t>
  </si>
  <si>
    <t>2 fields not provided by PCCM - architecture solution</t>
  </si>
  <si>
    <t>11 mapped to PCCM</t>
  </si>
  <si>
    <t>Used by Capital UPL</t>
  </si>
  <si>
    <t>Used</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</si>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</sst>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9C5700"/>
      <name val="Aptos Narrow"/>
      <family val="2"/>
      <scheme val="minor"/>
    </font>
    <font>
      <b/>
      <sz val="11"/>
      <color theme="0"/>
      <name val="Aptos Narrow"/>
      <family val="2"/>
      <scheme val="minor"/>
    </font>
    <font>
      <sz val="10"/>
      <color theme="1"/>
      <name val="Aptos Narrow"/>
      <family val="2"/>
      <scheme val="minor"/>
    </font>
    <font>
      <sz val="11"/>
      <color rgb="FF000000"/>
      <name val="Calibri"/>
      <family val="2"/>
      <charset val="1"/>
    </font>
    <font>
      <i/>
      <sz val="11"/>
      <color theme="1"/>
      <name val="Aptos Narrow"/>
      <family val="2"/>
      <scheme val="minor"/>
    </font>
    <font>
      <i/>
      <sz val="10"/>
      <color rgb="FF000000"/>
      <name val="Calibri"/>
      <family val="2"/>
      <charset val="1"/>
    </font>
    <font>
      <sz val="8"/>
      <color rgb="FF172B4D"/>
      <name val="Segoe UI"/>
      <family val="2"/>
    </font>
    <font>
      <b/>
      <sz val="9"/>
      <color indexed="81"/>
      <name val="Tahoma"/>
      <family val="2"/>
    </font>
    <font>
      <sz val="9"/>
      <color indexed="81"/>
      <name val="Tahoma"/>
      <family val="2"/>
    </font>
    <font>
      <sz val="11"/>
      <color rgb="FF252424"/>
      <name val="Segoe UI"/>
      <family val="2"/>
    </font>
    <font>
      <b/>
      <sz val="22"/>
      <color rgb="FF000000"/>
      <name val="Calibri"/>
      <family val="2"/>
    </font>
    <font>
      <b/>
      <sz val="20"/>
      <color theme="1"/>
      <name val="Aptos Narrow"/>
      <family val="2"/>
      <scheme val="minor"/>
    </font>
  </fonts>
  <fills count="10">
    <fill>
      <patternFill patternType="none"/>
    </fill>
    <fill>
      <patternFill patternType="gray125"/>
    </fill>
    <fill>
      <patternFill patternType="solid">
        <fgColor rgb="FFFFEB9C"/>
      </patternFill>
    </fill>
    <fill>
      <patternFill patternType="solid">
        <fgColor rgb="FFFF0000"/>
        <bgColor indexed="64"/>
      </patternFill>
    </fill>
    <fill>
      <patternFill patternType="solid">
        <fgColor theme="7" tint="0.79998168889431442"/>
        <bgColor indexed="64"/>
      </patternFill>
    </fill>
    <fill>
      <patternFill patternType="solid">
        <fgColor rgb="FF7030A0"/>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s>
  <cellStyleXfs count="3">
    <xf numFmtId="0" fontId="0" fillId="0" borderId="0"/>
    <xf numFmtId="0" fontId="1" fillId="2" borderId="0" applyNumberFormat="0" applyBorder="0" applyAlignment="0" applyProtection="0"/>
    <xf numFmtId="0" fontId="4" fillId="0" borderId="0"/>
  </cellStyleXfs>
  <cellXfs count="49">
    <xf numFmtId="0" fontId="0" fillId="0" borderId="0" xfId="0"/>
    <xf numFmtId="0" fontId="0" fillId="0" borderId="1" xfId="0" applyBorder="1" applyAlignment="1">
      <alignment horizontal="center" vertical="center" wrapText="1"/>
    </xf>
    <xf numFmtId="0" fontId="4" fillId="0" borderId="2" xfId="2" applyBorder="1" applyAlignment="1">
      <alignment horizontal="center" vertical="center" wrapText="1"/>
    </xf>
    <xf numFmtId="0" fontId="2" fillId="3" borderId="2" xfId="2" applyFont="1" applyFill="1" applyBorder="1" applyAlignment="1">
      <alignment horizontal="center" vertical="center" wrapText="1"/>
    </xf>
    <xf numFmtId="0" fontId="3" fillId="0" borderId="0" xfId="0" applyFont="1" applyAlignment="1">
      <alignment wrapText="1"/>
    </xf>
    <xf numFmtId="0" fontId="5" fillId="4" borderId="0" xfId="2" applyFont="1" applyFill="1" applyAlignment="1">
      <alignment horizontal="center" vertical="center" wrapText="1"/>
    </xf>
    <xf numFmtId="0" fontId="0" fillId="0" borderId="0" xfId="0" applyAlignment="1">
      <alignment horizontal="left"/>
    </xf>
    <xf numFmtId="0" fontId="2" fillId="3" borderId="1" xfId="2" applyFont="1" applyFill="1" applyBorder="1" applyAlignment="1">
      <alignment horizontal="center" vertical="center" wrapText="1"/>
    </xf>
    <xf numFmtId="0" fontId="2" fillId="5" borderId="1" xfId="2" applyFont="1" applyFill="1" applyBorder="1" applyAlignment="1">
      <alignment horizontal="center" vertical="center" wrapText="1"/>
    </xf>
    <xf numFmtId="0" fontId="0" fillId="0" borderId="0" xfId="0" applyAlignment="1">
      <alignment vertical="center"/>
    </xf>
    <xf numFmtId="0" fontId="3" fillId="6" borderId="1" xfId="2" applyFont="1" applyFill="1" applyBorder="1" applyAlignment="1">
      <alignment horizontal="center" vertical="center"/>
    </xf>
    <xf numFmtId="0" fontId="3" fillId="6" borderId="1" xfId="2" applyFont="1" applyFill="1" applyBorder="1" applyAlignment="1">
      <alignment vertical="center"/>
    </xf>
    <xf numFmtId="0" fontId="6" fillId="6" borderId="1" xfId="2" applyFont="1" applyFill="1" applyBorder="1" applyAlignment="1">
      <alignment vertical="center"/>
    </xf>
    <xf numFmtId="0" fontId="3" fillId="6" borderId="1" xfId="2" applyFont="1" applyFill="1" applyBorder="1" applyAlignment="1">
      <alignment horizontal="center" vertical="center" wrapText="1"/>
    </xf>
    <xf numFmtId="0" fontId="3" fillId="3" borderId="1" xfId="2" applyFont="1" applyFill="1" applyBorder="1" applyAlignment="1">
      <alignment vertical="center"/>
    </xf>
    <xf numFmtId="0" fontId="3" fillId="6" borderId="2" xfId="2" applyFont="1" applyFill="1" applyBorder="1" applyAlignment="1">
      <alignment horizontal="center" vertical="center"/>
    </xf>
    <xf numFmtId="0" fontId="3" fillId="6" borderId="2" xfId="2" applyFont="1" applyFill="1" applyBorder="1" applyAlignment="1">
      <alignment vertical="center"/>
    </xf>
    <xf numFmtId="0" fontId="6" fillId="6" borderId="2" xfId="2" applyFont="1" applyFill="1" applyBorder="1" applyAlignment="1">
      <alignment vertical="center"/>
    </xf>
    <xf numFmtId="0" fontId="6" fillId="6" borderId="2" xfId="2" applyFont="1" applyFill="1" applyBorder="1" applyAlignment="1">
      <alignment vertical="center" wrapText="1"/>
    </xf>
    <xf numFmtId="0" fontId="1" fillId="2" borderId="1" xfId="1" applyBorder="1" applyAlignment="1">
      <alignment horizontal="center"/>
    </xf>
    <xf numFmtId="0" fontId="1" fillId="2" borderId="1" xfId="1" applyBorder="1" applyAlignment="1">
      <alignment vertical="center"/>
    </xf>
    <xf numFmtId="0" fontId="1" fillId="2" borderId="1" xfId="1" applyBorder="1"/>
    <xf numFmtId="0" fontId="0" fillId="0" borderId="0" xfId="0" applyAlignment="1">
      <alignment horizontal="center"/>
    </xf>
    <xf numFmtId="0" fontId="7" fillId="0" borderId="0" xfId="0" applyFont="1" applyAlignment="1">
      <alignment horizontal="left"/>
    </xf>
    <xf numFmtId="0" fontId="0" fillId="0" borderId="1" xfId="0" applyBorder="1" applyAlignment="1">
      <alignment horizontal="left"/>
    </xf>
    <xf numFmtId="0" fontId="0" fillId="0" borderId="1" xfId="0" applyBorder="1"/>
    <xf numFmtId="0" fontId="4" fillId="0" borderId="0" xfId="2"/>
    <xf numFmtId="0" fontId="4" fillId="0" borderId="0" xfId="2" applyAlignment="1">
      <alignment horizontal="left"/>
    </xf>
    <xf numFmtId="0" fontId="2" fillId="3" borderId="0" xfId="2" applyFont="1" applyFill="1" applyAlignment="1">
      <alignment horizontal="left" vertical="center" wrapText="1"/>
    </xf>
    <xf numFmtId="0" fontId="1" fillId="7" borderId="0" xfId="1" applyFill="1"/>
    <xf numFmtId="0" fontId="0" fillId="0" borderId="0" xfId="0" applyAlignment="1">
      <alignment horizontal="left" wrapText="1"/>
    </xf>
    <xf numFmtId="0" fontId="0" fillId="0" borderId="1" xfId="0" applyBorder="1" applyAlignment="1">
      <alignment horizontal="left" wrapText="1"/>
    </xf>
    <xf numFmtId="0" fontId="6" fillId="6" borderId="1" xfId="2" applyFont="1" applyFill="1" applyBorder="1" applyAlignment="1">
      <alignment vertical="center" wrapText="1"/>
    </xf>
    <xf numFmtId="0" fontId="3" fillId="6" borderId="3" xfId="2" applyFont="1" applyFill="1" applyBorder="1" applyAlignment="1">
      <alignment horizontal="center" vertical="center" wrapText="1"/>
    </xf>
    <xf numFmtId="0" fontId="4" fillId="0" borderId="1" xfId="2" applyBorder="1"/>
    <xf numFmtId="0" fontId="4" fillId="0" borderId="1" xfId="2" applyBorder="1" applyAlignment="1">
      <alignment wrapText="1"/>
    </xf>
    <xf numFmtId="0" fontId="0" fillId="0" borderId="1" xfId="0" applyBorder="1" applyAlignment="1">
      <alignment vertical="center"/>
    </xf>
    <xf numFmtId="0" fontId="4" fillId="8" borderId="1" xfId="2" applyFill="1" applyBorder="1"/>
    <xf numFmtId="0" fontId="4" fillId="8" borderId="1" xfId="2" applyFill="1" applyBorder="1" applyAlignment="1">
      <alignment wrapText="1"/>
    </xf>
    <xf numFmtId="0" fontId="0" fillId="8" borderId="1" xfId="0" applyFill="1" applyBorder="1"/>
    <xf numFmtId="0" fontId="10" fillId="0" borderId="1" xfId="0" applyFont="1" applyBorder="1" applyAlignment="1">
      <alignment vertical="center"/>
    </xf>
    <xf numFmtId="0" fontId="0" fillId="0" borderId="1" xfId="0" applyBorder="1" applyAlignment="1">
      <alignment wrapText="1"/>
    </xf>
    <xf numFmtId="0" fontId="4" fillId="0" borderId="1" xfId="2" applyBorder="1" applyAlignment="1">
      <alignment horizontal="left"/>
    </xf>
    <xf numFmtId="0" fontId="1" fillId="7" borderId="1" xfId="1" applyFill="1" applyBorder="1"/>
    <xf numFmtId="0" fontId="2" fillId="3" borderId="4" xfId="2" applyFont="1" applyFill="1" applyBorder="1" applyAlignment="1">
      <alignment horizontal="left" vertical="center" wrapText="1"/>
    </xf>
    <xf numFmtId="0" fontId="3" fillId="9" borderId="3" xfId="2" applyFont="1" applyFill="1" applyBorder="1" applyAlignment="1">
      <alignment horizontal="center" vertical="center" wrapText="1"/>
    </xf>
    <xf numFmtId="0" fontId="1" fillId="9" borderId="1" xfId="1" applyFill="1" applyBorder="1"/>
    <xf numFmtId="0" fontId="11" fillId="0" borderId="1" xfId="2" applyFont="1" applyBorder="1" applyAlignment="1">
      <alignment horizontal="center"/>
    </xf>
    <xf numFmtId="0" fontId="12" fillId="0" borderId="1" xfId="0" applyFont="1" applyBorder="1" applyAlignment="1">
      <alignment horizontal="center" wrapText="1"/>
    </xf>
  </cellXfs>
  <cellStyles count="3">
    <cellStyle name="Neutral" xfId="1" builtinId="28"/>
    <cellStyle name="Normal" xfId="0" builtinId="0"/>
    <cellStyle name="Normal 3" xfId="2" xr:uid="{C78F22D3-FCED-48FC-88DA-BBEE788AA1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7AD3-303F-46F2-98D9-634C89E6E9A6}">
  <dimension ref="A1:Z89"/>
  <sheetViews>
    <sheetView tabSelected="1" zoomScale="80" zoomScaleNormal="80" workbookViewId="0">
      <selection activeCell="C18" sqref="C18"/>
    </sheetView>
  </sheetViews>
  <sheetFormatPr defaultColWidth="8.81640625" defaultRowHeight="14.5" x14ac:dyDescent="0.35"/>
  <cols>
    <col min="1" max="1" width="30.54296875" customWidth="1"/>
    <col min="2" max="2" width="37.7265625" customWidth="1"/>
    <col min="3" max="3" width="37.453125" customWidth="1"/>
    <col min="4" max="4" width="14.453125" customWidth="1"/>
    <col min="5" max="5" width="16.453125" customWidth="1"/>
    <col min="6" max="6" width="25.1796875" customWidth="1"/>
    <col min="7" max="7" width="27" customWidth="1"/>
    <col min="8" max="8" width="22.81640625" customWidth="1"/>
    <col min="9" max="9" width="17.81640625" customWidth="1"/>
    <col min="10" max="10" width="35.1796875" customWidth="1"/>
    <col min="11" max="11" width="19.81640625" style="22" customWidth="1"/>
    <col min="12" max="12" width="21" customWidth="1"/>
    <col min="13" max="13" width="21" style="26" customWidth="1"/>
    <col min="14" max="14" width="30.7265625" style="27" customWidth="1"/>
    <col min="15" max="15" width="33.81640625" style="6" customWidth="1"/>
    <col min="16" max="16" width="18" style="6" customWidth="1"/>
    <col min="17" max="17" width="41.26953125" style="30" customWidth="1"/>
    <col min="18" max="18" width="35.54296875" hidden="1" customWidth="1"/>
    <col min="19" max="19" width="28.26953125" bestFit="1" customWidth="1"/>
    <col min="20" max="20" width="17.453125" bestFit="1" customWidth="1"/>
    <col min="21" max="21" width="17.453125" customWidth="1"/>
    <col min="22" max="22" width="75.54296875" bestFit="1" customWidth="1"/>
    <col min="23" max="23" width="16.54296875" bestFit="1" customWidth="1"/>
  </cols>
  <sheetData>
    <row r="1" spans="1:23" ht="43.5" x14ac:dyDescent="0.65">
      <c r="A1" s="2" t="s">
        <v>0</v>
      </c>
      <c r="B1" s="3" t="s">
        <v>1</v>
      </c>
      <c r="C1" s="4"/>
      <c r="D1" s="4"/>
      <c r="E1" s="4"/>
      <c r="F1" s="4"/>
      <c r="G1" s="48" t="s">
        <v>2</v>
      </c>
      <c r="H1" s="48"/>
      <c r="I1" s="48"/>
      <c r="J1" s="48"/>
      <c r="K1" s="5" t="s">
        <v>3</v>
      </c>
      <c r="L1" s="5" t="s">
        <v>4</v>
      </c>
      <c r="N1" s="47" t="s">
        <v>5</v>
      </c>
      <c r="O1" s="47"/>
      <c r="P1" s="47"/>
      <c r="Q1" s="47"/>
    </row>
    <row r="2" spans="1:23" s="9" customFormat="1" ht="29" x14ac:dyDescent="0.35">
      <c r="A2" s="7" t="s">
        <v>6</v>
      </c>
      <c r="B2" s="7" t="s">
        <v>7</v>
      </c>
      <c r="C2" s="7" t="s">
        <v>8</v>
      </c>
      <c r="D2" s="7" t="s">
        <v>9</v>
      </c>
      <c r="E2" s="7" t="s">
        <v>10</v>
      </c>
      <c r="F2" s="7" t="s">
        <v>11</v>
      </c>
      <c r="G2" s="7" t="s">
        <v>12</v>
      </c>
      <c r="H2" s="7" t="s">
        <v>13</v>
      </c>
      <c r="I2" s="7" t="s">
        <v>14</v>
      </c>
      <c r="J2" s="7" t="s">
        <v>15</v>
      </c>
      <c r="K2" s="8" t="s">
        <v>16</v>
      </c>
      <c r="L2" s="8" t="s">
        <v>17</v>
      </c>
      <c r="M2" s="44" t="s">
        <v>18</v>
      </c>
      <c r="N2" s="44" t="s">
        <v>12</v>
      </c>
      <c r="O2" s="44" t="s">
        <v>13</v>
      </c>
      <c r="P2" s="44" t="s">
        <v>14</v>
      </c>
      <c r="Q2" s="28" t="s">
        <v>19</v>
      </c>
      <c r="R2" s="9" t="s">
        <v>20</v>
      </c>
      <c r="S2" s="36" t="s">
        <v>21</v>
      </c>
      <c r="T2" s="36" t="s">
        <v>22</v>
      </c>
      <c r="U2" s="36" t="s">
        <v>336</v>
      </c>
      <c r="V2" s="36" t="s">
        <v>23</v>
      </c>
    </row>
    <row r="3" spans="1:23" x14ac:dyDescent="0.35">
      <c r="A3" s="10">
        <v>1</v>
      </c>
      <c r="B3" s="11" t="s">
        <v>24</v>
      </c>
      <c r="C3" s="11" t="s">
        <v>25</v>
      </c>
      <c r="D3" s="10" t="s">
        <v>26</v>
      </c>
      <c r="E3" s="11" t="s">
        <v>27</v>
      </c>
      <c r="F3" s="11" t="s">
        <v>28</v>
      </c>
      <c r="G3" s="11" t="s">
        <v>29</v>
      </c>
      <c r="H3" s="12" t="s">
        <v>29</v>
      </c>
      <c r="I3" s="12" t="s">
        <v>29</v>
      </c>
      <c r="J3" s="12" t="s">
        <v>30</v>
      </c>
      <c r="K3" s="13" t="s">
        <v>31</v>
      </c>
      <c r="L3" s="33" t="s">
        <v>31</v>
      </c>
      <c r="M3" s="45"/>
      <c r="N3" s="34"/>
      <c r="O3" s="34"/>
      <c r="P3" s="34"/>
      <c r="Q3" s="35"/>
      <c r="R3" s="25" t="s">
        <v>32</v>
      </c>
      <c r="S3" s="25"/>
      <c r="T3" s="25"/>
      <c r="U3" s="25" t="str">
        <f>IF(OR(S3&lt;&gt;"",T3&lt;&gt;""),"Used","Not Used")</f>
        <v>Not Used</v>
      </c>
      <c r="V3" s="36"/>
      <c r="W3" s="9"/>
    </row>
    <row r="4" spans="1:23" x14ac:dyDescent="0.35">
      <c r="A4" s="10">
        <v>2</v>
      </c>
      <c r="B4" s="11" t="s">
        <v>33</v>
      </c>
      <c r="C4" s="11" t="s">
        <v>34</v>
      </c>
      <c r="D4" s="10" t="s">
        <v>26</v>
      </c>
      <c r="E4" s="11" t="s">
        <v>27</v>
      </c>
      <c r="F4" s="11" t="s">
        <v>28</v>
      </c>
      <c r="G4" s="11" t="s">
        <v>35</v>
      </c>
      <c r="H4" s="12" t="s">
        <v>36</v>
      </c>
      <c r="I4" s="12" t="s">
        <v>37</v>
      </c>
      <c r="J4" s="12" t="s">
        <v>38</v>
      </c>
      <c r="K4" s="13" t="s">
        <v>39</v>
      </c>
      <c r="L4" s="33" t="s">
        <v>31</v>
      </c>
      <c r="M4" s="45"/>
      <c r="N4" s="25"/>
      <c r="O4" s="34"/>
      <c r="P4" s="34" t="s">
        <v>40</v>
      </c>
      <c r="Q4" s="35"/>
      <c r="R4" s="25" t="s">
        <v>32</v>
      </c>
      <c r="S4" s="25"/>
      <c r="T4" s="25"/>
      <c r="U4" s="25" t="str">
        <f t="shared" ref="U4:U55" si="0">IF(OR(S4&lt;&gt;"",T4&lt;&gt;""),"Used","Not Used")</f>
        <v>Not Used</v>
      </c>
      <c r="V4" s="36"/>
      <c r="W4" s="9"/>
    </row>
    <row r="5" spans="1:23" ht="52" x14ac:dyDescent="0.35">
      <c r="A5" s="10">
        <v>3</v>
      </c>
      <c r="B5" s="11" t="s">
        <v>41</v>
      </c>
      <c r="C5" s="11" t="s">
        <v>42</v>
      </c>
      <c r="D5" s="10" t="s">
        <v>26</v>
      </c>
      <c r="E5" s="11" t="s">
        <v>27</v>
      </c>
      <c r="F5" s="11" t="s">
        <v>28</v>
      </c>
      <c r="G5" s="11" t="s">
        <v>43</v>
      </c>
      <c r="H5" s="12" t="s">
        <v>44</v>
      </c>
      <c r="I5" s="12" t="s">
        <v>45</v>
      </c>
      <c r="J5" s="32" t="s">
        <v>46</v>
      </c>
      <c r="K5" s="13" t="s">
        <v>31</v>
      </c>
      <c r="L5" s="33" t="s">
        <v>31</v>
      </c>
      <c r="M5" s="45"/>
      <c r="N5" s="25"/>
      <c r="O5" s="34"/>
      <c r="P5" s="34"/>
      <c r="Q5" s="35"/>
      <c r="R5" s="25" t="s">
        <v>32</v>
      </c>
      <c r="S5" s="25" t="s">
        <v>47</v>
      </c>
      <c r="T5" s="25" t="s">
        <v>47</v>
      </c>
      <c r="U5" s="25" t="str">
        <f t="shared" si="0"/>
        <v>Used</v>
      </c>
      <c r="V5" s="36"/>
      <c r="W5" s="9" t="s">
        <v>48</v>
      </c>
    </row>
    <row r="6" spans="1:23" x14ac:dyDescent="0.35">
      <c r="A6" s="10">
        <v>4</v>
      </c>
      <c r="B6" s="11" t="s">
        <v>49</v>
      </c>
      <c r="C6" s="11" t="s">
        <v>50</v>
      </c>
      <c r="D6" s="10" t="s">
        <v>26</v>
      </c>
      <c r="E6" s="11" t="s">
        <v>51</v>
      </c>
      <c r="F6" s="11" t="s">
        <v>28</v>
      </c>
      <c r="G6" s="11" t="s">
        <v>52</v>
      </c>
      <c r="H6" s="12" t="s">
        <v>36</v>
      </c>
      <c r="I6" s="12" t="s">
        <v>37</v>
      </c>
      <c r="J6" s="12" t="s">
        <v>53</v>
      </c>
      <c r="K6" s="13" t="s">
        <v>31</v>
      </c>
      <c r="L6" s="33" t="s">
        <v>31</v>
      </c>
      <c r="M6" s="45"/>
      <c r="N6" s="34" t="s">
        <v>54</v>
      </c>
      <c r="O6" s="34" t="s">
        <v>55</v>
      </c>
      <c r="P6" s="34" t="s">
        <v>40</v>
      </c>
      <c r="Q6" s="35" t="s">
        <v>56</v>
      </c>
      <c r="R6" s="25" t="s">
        <v>57</v>
      </c>
      <c r="S6" s="25"/>
      <c r="T6" s="25"/>
      <c r="U6" s="25" t="str">
        <f t="shared" si="0"/>
        <v>Not Used</v>
      </c>
      <c r="V6" s="36"/>
      <c r="W6" s="9"/>
    </row>
    <row r="7" spans="1:23" x14ac:dyDescent="0.35">
      <c r="A7" s="10">
        <v>5</v>
      </c>
      <c r="B7" s="11" t="s">
        <v>58</v>
      </c>
      <c r="C7" s="11" t="s">
        <v>59</v>
      </c>
      <c r="D7" s="10" t="s">
        <v>26</v>
      </c>
      <c r="E7" s="11" t="s">
        <v>60</v>
      </c>
      <c r="F7" s="11" t="s">
        <v>28</v>
      </c>
      <c r="G7" s="11" t="s">
        <v>61</v>
      </c>
      <c r="H7" s="12" t="s">
        <v>36</v>
      </c>
      <c r="I7" s="12" t="s">
        <v>37</v>
      </c>
      <c r="J7" s="12" t="s">
        <v>62</v>
      </c>
      <c r="K7" s="13" t="s">
        <v>31</v>
      </c>
      <c r="L7" s="33" t="s">
        <v>31</v>
      </c>
      <c r="M7" s="45"/>
      <c r="N7" s="37" t="s">
        <v>63</v>
      </c>
      <c r="O7" s="37"/>
      <c r="P7" s="37"/>
      <c r="Q7" s="38"/>
      <c r="R7" s="25"/>
      <c r="S7" s="39"/>
      <c r="T7" s="39"/>
      <c r="U7" s="39" t="str">
        <f t="shared" si="0"/>
        <v>Not Used</v>
      </c>
      <c r="V7" s="36"/>
      <c r="W7" s="9"/>
    </row>
    <row r="8" spans="1:23" ht="16.5" x14ac:dyDescent="0.35">
      <c r="A8" s="10">
        <v>6</v>
      </c>
      <c r="B8" s="11" t="s">
        <v>64</v>
      </c>
      <c r="C8" s="11" t="s">
        <v>65</v>
      </c>
      <c r="D8" s="10" t="s">
        <v>26</v>
      </c>
      <c r="E8" s="11" t="s">
        <v>66</v>
      </c>
      <c r="F8" s="11" t="s">
        <v>28</v>
      </c>
      <c r="G8" s="11" t="s">
        <v>67</v>
      </c>
      <c r="H8" s="12" t="s">
        <v>36</v>
      </c>
      <c r="I8" s="12" t="s">
        <v>37</v>
      </c>
      <c r="J8" s="12" t="s">
        <v>68</v>
      </c>
      <c r="K8" s="13" t="s">
        <v>31</v>
      </c>
      <c r="L8" s="33" t="s">
        <v>31</v>
      </c>
      <c r="M8" s="45"/>
      <c r="N8" s="34" t="s">
        <v>69</v>
      </c>
      <c r="O8" s="34" t="s">
        <v>70</v>
      </c>
      <c r="P8" s="34" t="s">
        <v>40</v>
      </c>
      <c r="Q8" s="35" t="s">
        <v>56</v>
      </c>
      <c r="R8" s="25" t="s">
        <v>71</v>
      </c>
      <c r="S8" s="25"/>
      <c r="T8" s="25"/>
      <c r="U8" s="25" t="str">
        <f t="shared" si="0"/>
        <v>Not Used</v>
      </c>
      <c r="V8" s="40" t="s">
        <v>72</v>
      </c>
    </row>
    <row r="9" spans="1:23" ht="15" customHeight="1" x14ac:dyDescent="0.35">
      <c r="A9" s="10">
        <v>7</v>
      </c>
      <c r="B9" s="11" t="s">
        <v>73</v>
      </c>
      <c r="C9" s="11" t="s">
        <v>74</v>
      </c>
      <c r="D9" s="10" t="s">
        <v>26</v>
      </c>
      <c r="E9" s="11" t="s">
        <v>51</v>
      </c>
      <c r="F9" s="11" t="s">
        <v>28</v>
      </c>
      <c r="G9" s="11" t="s">
        <v>75</v>
      </c>
      <c r="H9" s="12" t="s">
        <v>36</v>
      </c>
      <c r="I9" s="12" t="s">
        <v>37</v>
      </c>
      <c r="J9" s="12" t="s">
        <v>76</v>
      </c>
      <c r="K9" s="13" t="s">
        <v>31</v>
      </c>
      <c r="L9" s="33" t="s">
        <v>31</v>
      </c>
      <c r="M9" s="45"/>
      <c r="N9" s="37" t="s">
        <v>63</v>
      </c>
      <c r="O9" s="37"/>
      <c r="P9" s="37"/>
      <c r="Q9" s="38"/>
      <c r="R9" s="25"/>
      <c r="S9" s="39"/>
      <c r="T9" s="39"/>
      <c r="U9" s="39" t="str">
        <f t="shared" si="0"/>
        <v>Not Used</v>
      </c>
      <c r="V9" s="25"/>
    </row>
    <row r="10" spans="1:23" ht="15" customHeight="1" x14ac:dyDescent="0.35">
      <c r="A10" s="10">
        <v>8</v>
      </c>
      <c r="B10" s="11" t="s">
        <v>77</v>
      </c>
      <c r="C10" s="11" t="s">
        <v>78</v>
      </c>
      <c r="D10" s="10" t="s">
        <v>26</v>
      </c>
      <c r="E10" s="11" t="s">
        <v>66</v>
      </c>
      <c r="F10" s="11" t="s">
        <v>28</v>
      </c>
      <c r="G10" s="11" t="s">
        <v>79</v>
      </c>
      <c r="H10" s="12" t="s">
        <v>36</v>
      </c>
      <c r="I10" s="12" t="s">
        <v>37</v>
      </c>
      <c r="J10" s="12" t="s">
        <v>80</v>
      </c>
      <c r="K10" s="13" t="s">
        <v>31</v>
      </c>
      <c r="L10" s="33" t="s">
        <v>31</v>
      </c>
      <c r="M10" s="45"/>
      <c r="N10" s="37" t="s">
        <v>63</v>
      </c>
      <c r="O10" s="37"/>
      <c r="P10" s="37"/>
      <c r="Q10" s="38"/>
      <c r="R10" s="25"/>
      <c r="S10" s="39"/>
      <c r="T10" s="39"/>
      <c r="U10" s="39" t="str">
        <f t="shared" si="0"/>
        <v>Not Used</v>
      </c>
      <c r="V10" s="25"/>
    </row>
    <row r="11" spans="1:23" ht="72.5" x14ac:dyDescent="0.35">
      <c r="A11" s="10">
        <v>9</v>
      </c>
      <c r="B11" s="11" t="s">
        <v>81</v>
      </c>
      <c r="C11" s="11" t="s">
        <v>82</v>
      </c>
      <c r="D11" s="10" t="s">
        <v>26</v>
      </c>
      <c r="E11" s="11" t="s">
        <v>66</v>
      </c>
      <c r="F11" s="11" t="s">
        <v>28</v>
      </c>
      <c r="G11" s="11" t="s">
        <v>83</v>
      </c>
      <c r="H11" s="12" t="s">
        <v>36</v>
      </c>
      <c r="I11" s="12" t="s">
        <v>37</v>
      </c>
      <c r="J11" s="12" t="s">
        <v>84</v>
      </c>
      <c r="K11" s="13" t="s">
        <v>31</v>
      </c>
      <c r="L11" s="33" t="s">
        <v>31</v>
      </c>
      <c r="M11" s="45"/>
      <c r="N11" s="25" t="s">
        <v>85</v>
      </c>
      <c r="O11" s="25" t="s">
        <v>86</v>
      </c>
      <c r="P11" s="34" t="s">
        <v>40</v>
      </c>
      <c r="Q11" s="35" t="s">
        <v>87</v>
      </c>
      <c r="R11" s="25" t="s">
        <v>88</v>
      </c>
      <c r="S11" s="25" t="s">
        <v>89</v>
      </c>
      <c r="T11" s="25"/>
      <c r="U11" s="25" t="str">
        <f t="shared" si="0"/>
        <v>Used</v>
      </c>
      <c r="V11" s="25" t="s">
        <v>48</v>
      </c>
    </row>
    <row r="12" spans="1:23" x14ac:dyDescent="0.35">
      <c r="A12" s="10">
        <v>10</v>
      </c>
      <c r="B12" s="11" t="s">
        <v>90</v>
      </c>
      <c r="C12" s="11" t="s">
        <v>91</v>
      </c>
      <c r="D12" s="10" t="s">
        <v>26</v>
      </c>
      <c r="E12" s="11" t="s">
        <v>51</v>
      </c>
      <c r="F12" s="11" t="s">
        <v>28</v>
      </c>
      <c r="G12" s="11" t="s">
        <v>92</v>
      </c>
      <c r="H12" s="12" t="s">
        <v>36</v>
      </c>
      <c r="I12" s="12" t="s">
        <v>37</v>
      </c>
      <c r="J12" s="12" t="s">
        <v>93</v>
      </c>
      <c r="K12" s="13" t="s">
        <v>31</v>
      </c>
      <c r="L12" s="33" t="s">
        <v>31</v>
      </c>
      <c r="M12" s="45"/>
      <c r="N12" s="37" t="s">
        <v>63</v>
      </c>
      <c r="O12" s="37"/>
      <c r="P12" s="37"/>
      <c r="Q12" s="38"/>
      <c r="R12" s="25"/>
      <c r="S12" s="39"/>
      <c r="T12" s="39"/>
      <c r="U12" s="39" t="str">
        <f t="shared" si="0"/>
        <v>Not Used</v>
      </c>
      <c r="V12" s="25"/>
    </row>
    <row r="13" spans="1:23" x14ac:dyDescent="0.35">
      <c r="A13" s="10">
        <v>11</v>
      </c>
      <c r="B13" s="11" t="s">
        <v>94</v>
      </c>
      <c r="C13" s="11" t="s">
        <v>95</v>
      </c>
      <c r="D13" s="10" t="s">
        <v>26</v>
      </c>
      <c r="E13" s="11" t="s">
        <v>51</v>
      </c>
      <c r="F13" s="11" t="s">
        <v>28</v>
      </c>
      <c r="G13" s="11" t="s">
        <v>96</v>
      </c>
      <c r="H13" s="12" t="s">
        <v>36</v>
      </c>
      <c r="I13" s="12" t="s">
        <v>37</v>
      </c>
      <c r="J13" s="12" t="s">
        <v>97</v>
      </c>
      <c r="K13" s="13" t="s">
        <v>31</v>
      </c>
      <c r="L13" s="33" t="s">
        <v>31</v>
      </c>
      <c r="M13" s="45"/>
      <c r="N13" s="37" t="s">
        <v>63</v>
      </c>
      <c r="O13" s="37"/>
      <c r="P13" s="37"/>
      <c r="Q13" s="38"/>
      <c r="R13" s="25" t="s">
        <v>57</v>
      </c>
      <c r="S13" s="39"/>
      <c r="T13" s="39"/>
      <c r="U13" s="39" t="str">
        <f t="shared" si="0"/>
        <v>Not Used</v>
      </c>
      <c r="V13" s="25"/>
    </row>
    <row r="14" spans="1:23" x14ac:dyDescent="0.35">
      <c r="A14" s="10">
        <v>12</v>
      </c>
      <c r="B14" s="11" t="s">
        <v>98</v>
      </c>
      <c r="C14" s="11" t="s">
        <v>99</v>
      </c>
      <c r="D14" s="10" t="s">
        <v>26</v>
      </c>
      <c r="E14" s="11" t="s">
        <v>51</v>
      </c>
      <c r="F14" s="11" t="s">
        <v>28</v>
      </c>
      <c r="G14" s="11" t="s">
        <v>100</v>
      </c>
      <c r="H14" s="12" t="s">
        <v>36</v>
      </c>
      <c r="I14" s="12" t="s">
        <v>37</v>
      </c>
      <c r="J14" s="12" t="s">
        <v>101</v>
      </c>
      <c r="K14" s="13" t="s">
        <v>31</v>
      </c>
      <c r="L14" s="33" t="s">
        <v>31</v>
      </c>
      <c r="M14" s="45"/>
      <c r="N14" s="34" t="s">
        <v>102</v>
      </c>
      <c r="O14" s="34" t="s">
        <v>70</v>
      </c>
      <c r="P14" s="34" t="s">
        <v>40</v>
      </c>
      <c r="Q14" s="35" t="s">
        <v>56</v>
      </c>
      <c r="R14" s="25" t="s">
        <v>103</v>
      </c>
      <c r="S14" s="25" t="s">
        <v>89</v>
      </c>
      <c r="T14" s="25"/>
      <c r="U14" s="25" t="str">
        <f t="shared" si="0"/>
        <v>Used</v>
      </c>
      <c r="V14" s="25" t="s">
        <v>48</v>
      </c>
    </row>
    <row r="15" spans="1:23" ht="72.5" x14ac:dyDescent="0.35">
      <c r="A15" s="10">
        <v>13</v>
      </c>
      <c r="B15" s="11" t="s">
        <v>104</v>
      </c>
      <c r="C15" s="11" t="s">
        <v>105</v>
      </c>
      <c r="D15" s="10" t="s">
        <v>26</v>
      </c>
      <c r="E15" s="11" t="s">
        <v>60</v>
      </c>
      <c r="F15" s="11" t="s">
        <v>28</v>
      </c>
      <c r="G15" s="11" t="s">
        <v>106</v>
      </c>
      <c r="H15" s="12" t="s">
        <v>36</v>
      </c>
      <c r="I15" s="12" t="s">
        <v>37</v>
      </c>
      <c r="J15" s="12" t="s">
        <v>107</v>
      </c>
      <c r="K15" s="13" t="s">
        <v>31</v>
      </c>
      <c r="L15" s="33" t="s">
        <v>31</v>
      </c>
      <c r="M15" s="45"/>
      <c r="N15" s="34" t="s">
        <v>108</v>
      </c>
      <c r="O15" s="34" t="s">
        <v>70</v>
      </c>
      <c r="P15" s="34" t="s">
        <v>40</v>
      </c>
      <c r="Q15" s="35" t="s">
        <v>109</v>
      </c>
      <c r="R15" s="25" t="s">
        <v>88</v>
      </c>
      <c r="S15" s="25" t="s">
        <v>89</v>
      </c>
      <c r="T15" s="25"/>
      <c r="U15" s="25" t="str">
        <f t="shared" si="0"/>
        <v>Used</v>
      </c>
      <c r="V15" s="25" t="s">
        <v>48</v>
      </c>
    </row>
    <row r="16" spans="1:23" x14ac:dyDescent="0.35">
      <c r="A16" s="10">
        <v>14</v>
      </c>
      <c r="B16" s="11" t="s">
        <v>110</v>
      </c>
      <c r="C16" s="11" t="s">
        <v>111</v>
      </c>
      <c r="D16" s="10" t="s">
        <v>26</v>
      </c>
      <c r="E16" s="11" t="s">
        <v>51</v>
      </c>
      <c r="F16" s="11" t="s">
        <v>28</v>
      </c>
      <c r="G16" s="11" t="s">
        <v>112</v>
      </c>
      <c r="H16" s="12" t="s">
        <v>36</v>
      </c>
      <c r="I16" s="12" t="s">
        <v>37</v>
      </c>
      <c r="J16" s="12" t="s">
        <v>113</v>
      </c>
      <c r="K16" s="13" t="s">
        <v>31</v>
      </c>
      <c r="L16" s="33" t="s">
        <v>31</v>
      </c>
      <c r="M16" s="45"/>
      <c r="N16" s="34" t="s">
        <v>114</v>
      </c>
      <c r="O16" s="34" t="s">
        <v>70</v>
      </c>
      <c r="P16" s="34" t="s">
        <v>40</v>
      </c>
      <c r="Q16" s="35" t="s">
        <v>56</v>
      </c>
      <c r="R16" s="25" t="s">
        <v>88</v>
      </c>
      <c r="S16" s="25" t="s">
        <v>115</v>
      </c>
      <c r="T16" s="25"/>
      <c r="U16" s="25" t="str">
        <f t="shared" si="0"/>
        <v>Used</v>
      </c>
      <c r="V16" s="25" t="s">
        <v>48</v>
      </c>
    </row>
    <row r="17" spans="1:22" x14ac:dyDescent="0.35">
      <c r="A17" s="10">
        <v>15</v>
      </c>
      <c r="B17" s="11" t="s">
        <v>116</v>
      </c>
      <c r="C17" s="11" t="s">
        <v>117</v>
      </c>
      <c r="D17" s="10" t="s">
        <v>26</v>
      </c>
      <c r="E17" s="11" t="s">
        <v>51</v>
      </c>
      <c r="F17" s="11" t="s">
        <v>28</v>
      </c>
      <c r="G17" s="11" t="s">
        <v>118</v>
      </c>
      <c r="H17" s="12" t="s">
        <v>36</v>
      </c>
      <c r="I17" s="12" t="s">
        <v>37</v>
      </c>
      <c r="J17" s="12" t="s">
        <v>119</v>
      </c>
      <c r="K17" s="13" t="s">
        <v>31</v>
      </c>
      <c r="L17" s="33" t="s">
        <v>31</v>
      </c>
      <c r="M17" s="45"/>
      <c r="N17" s="37" t="s">
        <v>63</v>
      </c>
      <c r="O17" s="37"/>
      <c r="P17" s="37"/>
      <c r="Q17" s="38"/>
      <c r="R17" s="25"/>
      <c r="S17" s="39"/>
      <c r="T17" s="39"/>
      <c r="U17" s="39" t="str">
        <f t="shared" si="0"/>
        <v>Not Used</v>
      </c>
      <c r="V17" s="25"/>
    </row>
    <row r="18" spans="1:22" x14ac:dyDescent="0.35">
      <c r="A18" s="10">
        <v>16</v>
      </c>
      <c r="B18" s="11" t="s">
        <v>120</v>
      </c>
      <c r="C18" s="11" t="s">
        <v>121</v>
      </c>
      <c r="D18" s="10" t="s">
        <v>26</v>
      </c>
      <c r="E18" s="11" t="s">
        <v>122</v>
      </c>
      <c r="F18" s="11" t="s">
        <v>28</v>
      </c>
      <c r="G18" s="11" t="s">
        <v>123</v>
      </c>
      <c r="H18" s="12" t="s">
        <v>36</v>
      </c>
      <c r="I18" s="12" t="s">
        <v>37</v>
      </c>
      <c r="J18" s="12" t="s">
        <v>124</v>
      </c>
      <c r="K18" s="13" t="s">
        <v>31</v>
      </c>
      <c r="L18" s="33" t="s">
        <v>31</v>
      </c>
      <c r="M18" s="45"/>
      <c r="N18" s="37" t="s">
        <v>63</v>
      </c>
      <c r="O18" s="37"/>
      <c r="P18" s="37"/>
      <c r="Q18" s="38"/>
      <c r="R18" s="25"/>
      <c r="S18" s="39"/>
      <c r="T18" s="39"/>
      <c r="U18" s="39" t="str">
        <f t="shared" si="0"/>
        <v>Not Used</v>
      </c>
      <c r="V18" s="25"/>
    </row>
    <row r="19" spans="1:22" x14ac:dyDescent="0.35">
      <c r="A19" s="10">
        <v>17</v>
      </c>
      <c r="B19" s="11" t="s">
        <v>125</v>
      </c>
      <c r="C19" s="11" t="s">
        <v>126</v>
      </c>
      <c r="D19" s="10" t="s">
        <v>26</v>
      </c>
      <c r="E19" s="11" t="s">
        <v>66</v>
      </c>
      <c r="F19" s="11" t="s">
        <v>28</v>
      </c>
      <c r="G19" s="11" t="s">
        <v>127</v>
      </c>
      <c r="H19" s="12" t="s">
        <v>36</v>
      </c>
      <c r="I19" s="12" t="s">
        <v>37</v>
      </c>
      <c r="J19" s="12" t="s">
        <v>128</v>
      </c>
      <c r="K19" s="13" t="s">
        <v>31</v>
      </c>
      <c r="L19" s="33" t="s">
        <v>31</v>
      </c>
      <c r="M19" s="45"/>
      <c r="N19" s="37" t="s">
        <v>63</v>
      </c>
      <c r="O19" s="37"/>
      <c r="P19" s="37"/>
      <c r="Q19" s="38"/>
      <c r="R19" s="25"/>
      <c r="S19" s="39"/>
      <c r="T19" s="39"/>
      <c r="U19" s="39" t="str">
        <f t="shared" si="0"/>
        <v>Not Used</v>
      </c>
      <c r="V19" s="25"/>
    </row>
    <row r="20" spans="1:22" x14ac:dyDescent="0.35">
      <c r="A20" s="10">
        <v>18</v>
      </c>
      <c r="B20" s="11" t="s">
        <v>129</v>
      </c>
      <c r="C20" s="11" t="s">
        <v>130</v>
      </c>
      <c r="D20" s="10" t="s">
        <v>26</v>
      </c>
      <c r="E20" s="11" t="s">
        <v>66</v>
      </c>
      <c r="F20" s="11" t="s">
        <v>28</v>
      </c>
      <c r="G20" s="11" t="s">
        <v>131</v>
      </c>
      <c r="H20" s="12" t="s">
        <v>36</v>
      </c>
      <c r="I20" s="12" t="s">
        <v>37</v>
      </c>
      <c r="J20" s="12" t="s">
        <v>132</v>
      </c>
      <c r="K20" s="13" t="s">
        <v>31</v>
      </c>
      <c r="L20" s="33" t="s">
        <v>31</v>
      </c>
      <c r="M20" s="45"/>
      <c r="N20" s="37" t="s">
        <v>63</v>
      </c>
      <c r="O20" s="37"/>
      <c r="P20" s="37"/>
      <c r="Q20" s="38"/>
      <c r="R20" s="25"/>
      <c r="S20" s="39"/>
      <c r="T20" s="39"/>
      <c r="U20" s="39" t="str">
        <f t="shared" si="0"/>
        <v>Not Used</v>
      </c>
      <c r="V20" s="25"/>
    </row>
    <row r="21" spans="1:22" x14ac:dyDescent="0.35">
      <c r="A21" s="10">
        <v>19</v>
      </c>
      <c r="B21" s="11" t="s">
        <v>133</v>
      </c>
      <c r="C21" s="11" t="s">
        <v>134</v>
      </c>
      <c r="D21" s="10" t="s">
        <v>26</v>
      </c>
      <c r="E21" s="11" t="s">
        <v>51</v>
      </c>
      <c r="F21" s="11" t="s">
        <v>28</v>
      </c>
      <c r="G21" s="11" t="s">
        <v>135</v>
      </c>
      <c r="H21" s="12" t="s">
        <v>36</v>
      </c>
      <c r="I21" s="12" t="s">
        <v>37</v>
      </c>
      <c r="J21" s="12" t="s">
        <v>136</v>
      </c>
      <c r="K21" s="13" t="s">
        <v>31</v>
      </c>
      <c r="L21" s="33" t="s">
        <v>31</v>
      </c>
      <c r="M21" s="45"/>
      <c r="N21" s="37" t="s">
        <v>63</v>
      </c>
      <c r="O21" s="37"/>
      <c r="P21" s="37"/>
      <c r="Q21" s="38"/>
      <c r="R21" s="25" t="s">
        <v>57</v>
      </c>
      <c r="S21" s="39"/>
      <c r="T21" s="39"/>
      <c r="U21" s="39" t="str">
        <f t="shared" si="0"/>
        <v>Not Used</v>
      </c>
      <c r="V21" s="25"/>
    </row>
    <row r="22" spans="1:22" x14ac:dyDescent="0.35">
      <c r="A22" s="10">
        <v>20</v>
      </c>
      <c r="B22" s="11" t="s">
        <v>137</v>
      </c>
      <c r="C22" s="11" t="s">
        <v>138</v>
      </c>
      <c r="D22" s="10" t="s">
        <v>26</v>
      </c>
      <c r="E22" s="11" t="s">
        <v>66</v>
      </c>
      <c r="F22" s="11" t="s">
        <v>28</v>
      </c>
      <c r="G22" s="11" t="s">
        <v>139</v>
      </c>
      <c r="H22" s="12" t="s">
        <v>36</v>
      </c>
      <c r="I22" s="12" t="s">
        <v>37</v>
      </c>
      <c r="J22" s="12" t="s">
        <v>140</v>
      </c>
      <c r="K22" s="13" t="s">
        <v>31</v>
      </c>
      <c r="L22" s="33" t="s">
        <v>31</v>
      </c>
      <c r="M22" s="45"/>
      <c r="N22" s="34" t="s">
        <v>141</v>
      </c>
      <c r="O22" s="34" t="s">
        <v>70</v>
      </c>
      <c r="P22" s="34" t="s">
        <v>40</v>
      </c>
      <c r="Q22" s="35" t="s">
        <v>56</v>
      </c>
      <c r="R22" s="25" t="s">
        <v>103</v>
      </c>
      <c r="S22" s="25" t="s">
        <v>89</v>
      </c>
      <c r="T22" s="25"/>
      <c r="U22" s="25" t="str">
        <f t="shared" si="0"/>
        <v>Used</v>
      </c>
      <c r="V22" s="25" t="s">
        <v>48</v>
      </c>
    </row>
    <row r="23" spans="1:22" x14ac:dyDescent="0.35">
      <c r="A23" s="10">
        <v>21</v>
      </c>
      <c r="B23" s="11" t="s">
        <v>142</v>
      </c>
      <c r="C23" s="11" t="s">
        <v>143</v>
      </c>
      <c r="D23" s="10" t="s">
        <v>26</v>
      </c>
      <c r="E23" s="11" t="s">
        <v>66</v>
      </c>
      <c r="F23" s="11" t="s">
        <v>28</v>
      </c>
      <c r="G23" s="11" t="s">
        <v>144</v>
      </c>
      <c r="H23" s="12" t="s">
        <v>36</v>
      </c>
      <c r="I23" s="12" t="s">
        <v>37</v>
      </c>
      <c r="J23" s="12" t="s">
        <v>145</v>
      </c>
      <c r="K23" s="13" t="s">
        <v>31</v>
      </c>
      <c r="L23" s="33" t="s">
        <v>31</v>
      </c>
      <c r="M23" s="45"/>
      <c r="N23" s="34" t="s">
        <v>69</v>
      </c>
      <c r="O23" s="34" t="s">
        <v>70</v>
      </c>
      <c r="P23" s="34" t="s">
        <v>40</v>
      </c>
      <c r="Q23" s="35" t="s">
        <v>56</v>
      </c>
      <c r="R23" s="25" t="s">
        <v>88</v>
      </c>
      <c r="S23" s="25" t="s">
        <v>89</v>
      </c>
      <c r="T23" s="25"/>
      <c r="U23" s="25" t="str">
        <f t="shared" si="0"/>
        <v>Used</v>
      </c>
      <c r="V23" s="25" t="s">
        <v>48</v>
      </c>
    </row>
    <row r="24" spans="1:22" x14ac:dyDescent="0.35">
      <c r="A24" s="10">
        <v>22</v>
      </c>
      <c r="B24" s="11" t="s">
        <v>146</v>
      </c>
      <c r="C24" s="11" t="s">
        <v>147</v>
      </c>
      <c r="D24" s="10" t="s">
        <v>26</v>
      </c>
      <c r="E24" s="11" t="s">
        <v>51</v>
      </c>
      <c r="F24" s="11" t="s">
        <v>28</v>
      </c>
      <c r="G24" s="11" t="s">
        <v>148</v>
      </c>
      <c r="H24" s="12" t="s">
        <v>36</v>
      </c>
      <c r="I24" s="12" t="s">
        <v>37</v>
      </c>
      <c r="J24" s="12" t="s">
        <v>149</v>
      </c>
      <c r="K24" s="13" t="s">
        <v>31</v>
      </c>
      <c r="L24" s="33" t="s">
        <v>31</v>
      </c>
      <c r="M24" s="45"/>
      <c r="N24" s="34" t="s">
        <v>150</v>
      </c>
      <c r="O24" s="34" t="s">
        <v>70</v>
      </c>
      <c r="P24" s="34" t="s">
        <v>40</v>
      </c>
      <c r="Q24" s="35"/>
      <c r="R24" s="25"/>
      <c r="S24" s="25"/>
      <c r="T24" s="25"/>
      <c r="U24" s="25" t="str">
        <f t="shared" si="0"/>
        <v>Not Used</v>
      </c>
      <c r="V24" s="25"/>
    </row>
    <row r="25" spans="1:22" x14ac:dyDescent="0.35">
      <c r="A25" s="10">
        <v>23</v>
      </c>
      <c r="B25" s="11" t="s">
        <v>151</v>
      </c>
      <c r="C25" s="11" t="s">
        <v>152</v>
      </c>
      <c r="D25" s="10" t="s">
        <v>26</v>
      </c>
      <c r="E25" s="11" t="s">
        <v>51</v>
      </c>
      <c r="F25" s="11" t="s">
        <v>28</v>
      </c>
      <c r="G25" s="11" t="s">
        <v>153</v>
      </c>
      <c r="H25" s="12" t="s">
        <v>36</v>
      </c>
      <c r="I25" s="12" t="s">
        <v>37</v>
      </c>
      <c r="J25" s="12" t="s">
        <v>154</v>
      </c>
      <c r="K25" s="13" t="s">
        <v>31</v>
      </c>
      <c r="L25" s="33" t="s">
        <v>31</v>
      </c>
      <c r="M25" s="45"/>
      <c r="N25" s="34" t="s">
        <v>155</v>
      </c>
      <c r="O25" s="34" t="s">
        <v>156</v>
      </c>
      <c r="P25" s="34" t="s">
        <v>40</v>
      </c>
      <c r="Q25" s="35" t="s">
        <v>56</v>
      </c>
      <c r="R25" s="25" t="s">
        <v>88</v>
      </c>
      <c r="S25" s="25" t="s">
        <v>89</v>
      </c>
      <c r="T25" s="25"/>
      <c r="U25" s="25" t="str">
        <f t="shared" si="0"/>
        <v>Used</v>
      </c>
      <c r="V25" s="25" t="s">
        <v>48</v>
      </c>
    </row>
    <row r="26" spans="1:22" ht="29" x14ac:dyDescent="0.35">
      <c r="A26" s="10">
        <v>24</v>
      </c>
      <c r="B26" s="11" t="s">
        <v>157</v>
      </c>
      <c r="C26" s="11" t="s">
        <v>158</v>
      </c>
      <c r="D26" s="10" t="s">
        <v>26</v>
      </c>
      <c r="E26" s="11" t="s">
        <v>66</v>
      </c>
      <c r="F26" s="11" t="s">
        <v>28</v>
      </c>
      <c r="G26" s="11" t="s">
        <v>159</v>
      </c>
      <c r="H26" s="12" t="s">
        <v>36</v>
      </c>
      <c r="I26" s="12" t="s">
        <v>37</v>
      </c>
      <c r="J26" s="12" t="s">
        <v>160</v>
      </c>
      <c r="K26" s="13" t="s">
        <v>31</v>
      </c>
      <c r="L26" s="33" t="s">
        <v>31</v>
      </c>
      <c r="M26" s="45"/>
      <c r="N26" s="34" t="s">
        <v>161</v>
      </c>
      <c r="O26" s="34" t="s">
        <v>156</v>
      </c>
      <c r="P26" s="34" t="s">
        <v>40</v>
      </c>
      <c r="Q26" s="35" t="s">
        <v>56</v>
      </c>
      <c r="R26" s="41" t="s">
        <v>162</v>
      </c>
      <c r="S26" s="25" t="s">
        <v>47</v>
      </c>
      <c r="T26" s="25" t="s">
        <v>47</v>
      </c>
      <c r="U26" s="25" t="str">
        <f t="shared" si="0"/>
        <v>Used</v>
      </c>
      <c r="V26" s="25" t="s">
        <v>48</v>
      </c>
    </row>
    <row r="27" spans="1:22" x14ac:dyDescent="0.35">
      <c r="A27" s="10">
        <v>25</v>
      </c>
      <c r="B27" s="11" t="s">
        <v>163</v>
      </c>
      <c r="C27" s="11" t="s">
        <v>164</v>
      </c>
      <c r="D27" s="10" t="s">
        <v>26</v>
      </c>
      <c r="E27" s="11" t="s">
        <v>122</v>
      </c>
      <c r="F27" s="11" t="s">
        <v>28</v>
      </c>
      <c r="G27" s="11" t="s">
        <v>165</v>
      </c>
      <c r="H27" s="12" t="s">
        <v>36</v>
      </c>
      <c r="I27" s="12" t="s">
        <v>37</v>
      </c>
      <c r="J27" s="12" t="s">
        <v>166</v>
      </c>
      <c r="K27" s="13" t="s">
        <v>31</v>
      </c>
      <c r="L27" s="33" t="s">
        <v>31</v>
      </c>
      <c r="M27" s="45"/>
      <c r="N27" s="34"/>
      <c r="O27" s="34"/>
      <c r="P27" s="34"/>
      <c r="Q27" s="35"/>
      <c r="R27" s="25" t="s">
        <v>167</v>
      </c>
      <c r="S27" s="25" t="s">
        <v>47</v>
      </c>
      <c r="T27" s="25" t="s">
        <v>47</v>
      </c>
      <c r="U27" s="25" t="str">
        <f t="shared" si="0"/>
        <v>Used</v>
      </c>
      <c r="V27" s="25" t="s">
        <v>48</v>
      </c>
    </row>
    <row r="28" spans="1:22" x14ac:dyDescent="0.35">
      <c r="A28" s="10">
        <v>26</v>
      </c>
      <c r="B28" s="11" t="s">
        <v>168</v>
      </c>
      <c r="C28" s="11" t="s">
        <v>169</v>
      </c>
      <c r="D28" s="10" t="s">
        <v>26</v>
      </c>
      <c r="E28" s="11" t="s">
        <v>170</v>
      </c>
      <c r="F28" s="11" t="s">
        <v>28</v>
      </c>
      <c r="G28" s="11" t="s">
        <v>171</v>
      </c>
      <c r="H28" s="12" t="s">
        <v>36</v>
      </c>
      <c r="I28" s="12" t="s">
        <v>37</v>
      </c>
      <c r="J28" s="12" t="s">
        <v>172</v>
      </c>
      <c r="K28" s="13" t="s">
        <v>31</v>
      </c>
      <c r="L28" s="33" t="s">
        <v>31</v>
      </c>
      <c r="M28" s="45"/>
      <c r="N28" s="37" t="s">
        <v>63</v>
      </c>
      <c r="O28" s="37"/>
      <c r="P28" s="37"/>
      <c r="Q28" s="38"/>
      <c r="R28" s="25"/>
      <c r="S28" s="39"/>
      <c r="T28" s="39"/>
      <c r="U28" s="39" t="str">
        <f t="shared" si="0"/>
        <v>Not Used</v>
      </c>
      <c r="V28" s="25"/>
    </row>
    <row r="29" spans="1:22" ht="29" x14ac:dyDescent="0.35">
      <c r="A29" s="10">
        <v>27</v>
      </c>
      <c r="B29" s="11" t="s">
        <v>173</v>
      </c>
      <c r="C29" s="11" t="s">
        <v>174</v>
      </c>
      <c r="D29" s="10" t="s">
        <v>26</v>
      </c>
      <c r="E29" s="11" t="s">
        <v>175</v>
      </c>
      <c r="F29" s="11" t="s">
        <v>28</v>
      </c>
      <c r="G29" s="11" t="s">
        <v>173</v>
      </c>
      <c r="H29" s="12" t="s">
        <v>36</v>
      </c>
      <c r="I29" s="12" t="s">
        <v>37</v>
      </c>
      <c r="J29" s="12" t="s">
        <v>176</v>
      </c>
      <c r="K29" s="13" t="s">
        <v>31</v>
      </c>
      <c r="L29" s="33" t="s">
        <v>31</v>
      </c>
      <c r="M29" s="45" t="s">
        <v>177</v>
      </c>
      <c r="N29" s="34" t="s">
        <v>177</v>
      </c>
      <c r="O29" s="34" t="s">
        <v>156</v>
      </c>
      <c r="P29" s="34" t="s">
        <v>40</v>
      </c>
      <c r="Q29" s="35" t="s">
        <v>56</v>
      </c>
      <c r="R29" s="41" t="s">
        <v>162</v>
      </c>
      <c r="S29" s="25" t="s">
        <v>47</v>
      </c>
      <c r="T29" s="25" t="s">
        <v>47</v>
      </c>
      <c r="U29" s="25" t="str">
        <f t="shared" si="0"/>
        <v>Used</v>
      </c>
      <c r="V29" s="25" t="s">
        <v>48</v>
      </c>
    </row>
    <row r="30" spans="1:22" ht="29" x14ac:dyDescent="0.35">
      <c r="A30" s="10">
        <v>28</v>
      </c>
      <c r="B30" s="11" t="s">
        <v>178</v>
      </c>
      <c r="C30" s="11" t="s">
        <v>179</v>
      </c>
      <c r="D30" s="10" t="s">
        <v>26</v>
      </c>
      <c r="E30" s="11" t="s">
        <v>175</v>
      </c>
      <c r="F30" s="11" t="s">
        <v>28</v>
      </c>
      <c r="G30" s="11" t="s">
        <v>178</v>
      </c>
      <c r="H30" s="12" t="s">
        <v>36</v>
      </c>
      <c r="I30" s="12" t="s">
        <v>37</v>
      </c>
      <c r="J30" s="12" t="s">
        <v>180</v>
      </c>
      <c r="K30" s="13" t="s">
        <v>31</v>
      </c>
      <c r="L30" s="33" t="s">
        <v>31</v>
      </c>
      <c r="M30" s="45" t="s">
        <v>181</v>
      </c>
      <c r="N30" s="34" t="s">
        <v>181</v>
      </c>
      <c r="O30" s="34" t="s">
        <v>156</v>
      </c>
      <c r="P30" s="34" t="s">
        <v>40</v>
      </c>
      <c r="Q30" s="35" t="s">
        <v>56</v>
      </c>
      <c r="R30" s="41" t="s">
        <v>162</v>
      </c>
      <c r="S30" s="25" t="s">
        <v>115</v>
      </c>
      <c r="T30" s="25" t="s">
        <v>47</v>
      </c>
      <c r="U30" s="25" t="str">
        <f t="shared" si="0"/>
        <v>Used</v>
      </c>
      <c r="V30" s="25" t="s">
        <v>48</v>
      </c>
    </row>
    <row r="31" spans="1:22" x14ac:dyDescent="0.35">
      <c r="A31" s="10">
        <v>29</v>
      </c>
      <c r="B31" s="11" t="s">
        <v>182</v>
      </c>
      <c r="C31" s="11" t="s">
        <v>183</v>
      </c>
      <c r="D31" s="10" t="s">
        <v>26</v>
      </c>
      <c r="E31" s="11" t="s">
        <v>27</v>
      </c>
      <c r="F31" s="11" t="s">
        <v>28</v>
      </c>
      <c r="G31" s="11" t="s">
        <v>182</v>
      </c>
      <c r="H31" s="12" t="s">
        <v>36</v>
      </c>
      <c r="I31" s="12" t="s">
        <v>37</v>
      </c>
      <c r="J31" s="12" t="s">
        <v>38</v>
      </c>
      <c r="K31" s="13" t="s">
        <v>31</v>
      </c>
      <c r="L31" s="33" t="s">
        <v>31</v>
      </c>
      <c r="M31" s="45"/>
      <c r="N31" s="37" t="s">
        <v>63</v>
      </c>
      <c r="O31" s="37"/>
      <c r="P31" s="37"/>
      <c r="Q31" s="38"/>
      <c r="R31" s="25"/>
      <c r="S31" s="39"/>
      <c r="T31" s="39"/>
      <c r="U31" s="39" t="str">
        <f t="shared" si="0"/>
        <v>Not Used</v>
      </c>
      <c r="V31" s="25"/>
    </row>
    <row r="32" spans="1:22" x14ac:dyDescent="0.35">
      <c r="A32" s="10">
        <v>30</v>
      </c>
      <c r="B32" s="11" t="s">
        <v>184</v>
      </c>
      <c r="C32" s="11" t="s">
        <v>185</v>
      </c>
      <c r="D32" s="10" t="s">
        <v>26</v>
      </c>
      <c r="E32" s="11" t="s">
        <v>122</v>
      </c>
      <c r="F32" s="11" t="s">
        <v>28</v>
      </c>
      <c r="G32" s="11" t="s">
        <v>186</v>
      </c>
      <c r="H32" s="12" t="s">
        <v>36</v>
      </c>
      <c r="I32" s="12" t="s">
        <v>37</v>
      </c>
      <c r="J32" s="12" t="s">
        <v>187</v>
      </c>
      <c r="K32" s="13" t="s">
        <v>31</v>
      </c>
      <c r="L32" s="33" t="s">
        <v>31</v>
      </c>
      <c r="M32" s="45"/>
      <c r="N32" s="37" t="s">
        <v>63</v>
      </c>
      <c r="O32" s="37"/>
      <c r="P32" s="37"/>
      <c r="Q32" s="38"/>
      <c r="R32" s="25"/>
      <c r="S32" s="39"/>
      <c r="T32" s="39"/>
      <c r="U32" s="39" t="str">
        <f t="shared" si="0"/>
        <v>Not Used</v>
      </c>
      <c r="V32" s="25"/>
    </row>
    <row r="33" spans="1:26" x14ac:dyDescent="0.35">
      <c r="A33" s="10">
        <v>31</v>
      </c>
      <c r="B33" s="11" t="s">
        <v>188</v>
      </c>
      <c r="C33" s="11" t="s">
        <v>189</v>
      </c>
      <c r="D33" s="10" t="s">
        <v>26</v>
      </c>
      <c r="E33" s="11" t="s">
        <v>122</v>
      </c>
      <c r="F33" s="11" t="s">
        <v>28</v>
      </c>
      <c r="G33" s="11" t="s">
        <v>188</v>
      </c>
      <c r="H33" s="12" t="s">
        <v>36</v>
      </c>
      <c r="I33" s="12" t="s">
        <v>37</v>
      </c>
      <c r="J33" s="12" t="s">
        <v>190</v>
      </c>
      <c r="K33" s="13" t="s">
        <v>31</v>
      </c>
      <c r="L33" s="33" t="s">
        <v>31</v>
      </c>
      <c r="M33" s="45"/>
      <c r="N33" s="37" t="s">
        <v>63</v>
      </c>
      <c r="O33" s="37" t="s">
        <v>63</v>
      </c>
      <c r="P33" s="37"/>
      <c r="Q33" s="38"/>
      <c r="R33" s="25" t="s">
        <v>191</v>
      </c>
      <c r="S33" s="39"/>
      <c r="T33" s="39" t="s">
        <v>47</v>
      </c>
      <c r="U33" s="39" t="str">
        <f t="shared" si="0"/>
        <v>Used</v>
      </c>
      <c r="V33" s="25" t="s">
        <v>48</v>
      </c>
    </row>
    <row r="34" spans="1:26" x14ac:dyDescent="0.35">
      <c r="A34" s="10">
        <v>32</v>
      </c>
      <c r="B34" s="11" t="s">
        <v>192</v>
      </c>
      <c r="C34" s="11" t="s">
        <v>193</v>
      </c>
      <c r="D34" s="10" t="s">
        <v>26</v>
      </c>
      <c r="E34" s="11" t="s">
        <v>66</v>
      </c>
      <c r="F34" s="11" t="s">
        <v>28</v>
      </c>
      <c r="G34" s="11" t="s">
        <v>194</v>
      </c>
      <c r="H34" s="12" t="s">
        <v>36</v>
      </c>
      <c r="I34" s="12" t="s">
        <v>37</v>
      </c>
      <c r="J34" s="12" t="s">
        <v>195</v>
      </c>
      <c r="K34" s="13" t="s">
        <v>31</v>
      </c>
      <c r="L34" s="33" t="s">
        <v>31</v>
      </c>
      <c r="M34" s="45"/>
      <c r="N34" s="37" t="s">
        <v>63</v>
      </c>
      <c r="O34" s="37"/>
      <c r="P34" s="37"/>
      <c r="Q34" s="38"/>
      <c r="R34" s="25" t="s">
        <v>57</v>
      </c>
      <c r="S34" s="39"/>
      <c r="T34" s="39"/>
      <c r="U34" s="39" t="str">
        <f t="shared" si="0"/>
        <v>Not Used</v>
      </c>
      <c r="V34" s="25"/>
    </row>
    <row r="35" spans="1:26" x14ac:dyDescent="0.35">
      <c r="A35" s="10">
        <v>33</v>
      </c>
      <c r="B35" s="11" t="s">
        <v>196</v>
      </c>
      <c r="C35" s="11" t="s">
        <v>197</v>
      </c>
      <c r="D35" s="10" t="s">
        <v>26</v>
      </c>
      <c r="E35" s="11" t="s">
        <v>51</v>
      </c>
      <c r="F35" s="11" t="s">
        <v>28</v>
      </c>
      <c r="G35" s="11" t="s">
        <v>198</v>
      </c>
      <c r="H35" s="12" t="s">
        <v>36</v>
      </c>
      <c r="I35" s="12" t="s">
        <v>37</v>
      </c>
      <c r="J35" s="12" t="s">
        <v>199</v>
      </c>
      <c r="K35" s="13" t="s">
        <v>31</v>
      </c>
      <c r="L35" s="33" t="s">
        <v>31</v>
      </c>
      <c r="M35" s="45"/>
      <c r="N35" s="34" t="s">
        <v>200</v>
      </c>
      <c r="O35" s="34" t="s">
        <v>201</v>
      </c>
      <c r="P35" s="34" t="s">
        <v>40</v>
      </c>
      <c r="Q35" s="35"/>
      <c r="R35" s="25"/>
      <c r="S35" s="25"/>
      <c r="T35" s="25"/>
      <c r="U35" s="25" t="str">
        <f t="shared" si="0"/>
        <v>Not Used</v>
      </c>
      <c r="V35" s="25"/>
    </row>
    <row r="36" spans="1:26" x14ac:dyDescent="0.35">
      <c r="A36" s="10">
        <v>34</v>
      </c>
      <c r="B36" s="14" t="s">
        <v>202</v>
      </c>
      <c r="C36" s="11" t="s">
        <v>203</v>
      </c>
      <c r="D36" s="10" t="s">
        <v>26</v>
      </c>
      <c r="E36" s="11" t="s">
        <v>66</v>
      </c>
      <c r="F36" s="11" t="s">
        <v>28</v>
      </c>
      <c r="G36" s="11" t="s">
        <v>204</v>
      </c>
      <c r="H36" s="12" t="s">
        <v>36</v>
      </c>
      <c r="I36" s="12" t="s">
        <v>37</v>
      </c>
      <c r="J36" s="12" t="s">
        <v>205</v>
      </c>
      <c r="K36" s="13" t="s">
        <v>31</v>
      </c>
      <c r="L36" s="33" t="s">
        <v>31</v>
      </c>
      <c r="M36" s="45"/>
      <c r="N36" s="37" t="s">
        <v>63</v>
      </c>
      <c r="O36" s="37" t="s">
        <v>63</v>
      </c>
      <c r="P36" s="37"/>
      <c r="Q36" s="38"/>
      <c r="R36" s="25" t="s">
        <v>206</v>
      </c>
      <c r="S36" s="39" t="s">
        <v>115</v>
      </c>
      <c r="T36" s="39"/>
      <c r="U36" s="39" t="str">
        <f t="shared" si="0"/>
        <v>Used</v>
      </c>
      <c r="V36" s="25" t="s">
        <v>48</v>
      </c>
    </row>
    <row r="37" spans="1:26" ht="29" x14ac:dyDescent="0.35">
      <c r="A37" s="10">
        <v>35</v>
      </c>
      <c r="B37" s="11" t="s">
        <v>207</v>
      </c>
      <c r="C37" s="11" t="s">
        <v>208</v>
      </c>
      <c r="D37" s="10" t="s">
        <v>26</v>
      </c>
      <c r="E37" s="11" t="s">
        <v>66</v>
      </c>
      <c r="F37" s="11" t="s">
        <v>28</v>
      </c>
      <c r="G37" s="11" t="s">
        <v>209</v>
      </c>
      <c r="H37" s="12" t="s">
        <v>36</v>
      </c>
      <c r="I37" s="12" t="s">
        <v>37</v>
      </c>
      <c r="J37" s="12" t="s">
        <v>210</v>
      </c>
      <c r="K37" s="13" t="s">
        <v>31</v>
      </c>
      <c r="L37" s="33" t="s">
        <v>31</v>
      </c>
      <c r="M37" s="45"/>
      <c r="N37" s="34" t="s">
        <v>211</v>
      </c>
      <c r="O37" s="34" t="s">
        <v>70</v>
      </c>
      <c r="P37" s="34" t="s">
        <v>40</v>
      </c>
      <c r="Q37" s="35" t="s">
        <v>56</v>
      </c>
      <c r="R37" s="41" t="s">
        <v>212</v>
      </c>
      <c r="S37" s="25" t="s">
        <v>89</v>
      </c>
      <c r="T37" s="25"/>
      <c r="U37" s="25" t="str">
        <f t="shared" si="0"/>
        <v>Used</v>
      </c>
      <c r="V37" s="25" t="s">
        <v>48</v>
      </c>
    </row>
    <row r="38" spans="1:26" x14ac:dyDescent="0.35">
      <c r="A38" s="10">
        <v>36</v>
      </c>
      <c r="B38" s="11" t="s">
        <v>213</v>
      </c>
      <c r="C38" s="11" t="s">
        <v>214</v>
      </c>
      <c r="D38" s="10" t="s">
        <v>26</v>
      </c>
      <c r="E38" s="11" t="s">
        <v>215</v>
      </c>
      <c r="F38" s="11" t="s">
        <v>28</v>
      </c>
      <c r="G38" s="11" t="s">
        <v>213</v>
      </c>
      <c r="H38" s="12" t="s">
        <v>36</v>
      </c>
      <c r="I38" s="12" t="s">
        <v>37</v>
      </c>
      <c r="J38" s="12" t="s">
        <v>216</v>
      </c>
      <c r="K38" s="13" t="s">
        <v>39</v>
      </c>
      <c r="L38" s="33" t="s">
        <v>31</v>
      </c>
      <c r="M38" s="45"/>
      <c r="N38" s="34" t="s">
        <v>217</v>
      </c>
      <c r="O38" s="34" t="s">
        <v>218</v>
      </c>
      <c r="P38" s="34" t="s">
        <v>40</v>
      </c>
      <c r="Q38" s="35" t="s">
        <v>56</v>
      </c>
      <c r="R38" s="25" t="s">
        <v>167</v>
      </c>
      <c r="S38" s="25"/>
      <c r="T38" s="25" t="s">
        <v>47</v>
      </c>
      <c r="U38" s="25" t="str">
        <f t="shared" si="0"/>
        <v>Used</v>
      </c>
      <c r="V38" s="25" t="s">
        <v>48</v>
      </c>
    </row>
    <row r="39" spans="1:26" x14ac:dyDescent="0.35">
      <c r="A39" s="10">
        <v>37</v>
      </c>
      <c r="B39" s="11" t="s">
        <v>219</v>
      </c>
      <c r="C39" s="11" t="s">
        <v>220</v>
      </c>
      <c r="D39" s="10" t="s">
        <v>26</v>
      </c>
      <c r="E39" s="11" t="s">
        <v>51</v>
      </c>
      <c r="F39" s="11" t="s">
        <v>28</v>
      </c>
      <c r="G39" s="11" t="s">
        <v>219</v>
      </c>
      <c r="H39" s="12" t="s">
        <v>36</v>
      </c>
      <c r="I39" s="12" t="s">
        <v>37</v>
      </c>
      <c r="J39" s="12" t="s">
        <v>221</v>
      </c>
      <c r="K39" s="13" t="s">
        <v>31</v>
      </c>
      <c r="L39" s="33" t="s">
        <v>31</v>
      </c>
      <c r="M39" s="45"/>
      <c r="N39" s="34" t="s">
        <v>222</v>
      </c>
      <c r="O39" s="34" t="s">
        <v>70</v>
      </c>
      <c r="P39" s="34" t="s">
        <v>40</v>
      </c>
      <c r="Q39" s="35" t="s">
        <v>56</v>
      </c>
      <c r="R39" s="25" t="s">
        <v>88</v>
      </c>
      <c r="S39" s="25" t="s">
        <v>89</v>
      </c>
      <c r="T39" s="25"/>
      <c r="U39" s="25" t="str">
        <f t="shared" si="0"/>
        <v>Used</v>
      </c>
      <c r="V39" s="25" t="s">
        <v>48</v>
      </c>
    </row>
    <row r="40" spans="1:26" x14ac:dyDescent="0.35">
      <c r="A40" s="10">
        <v>38</v>
      </c>
      <c r="B40" s="11" t="s">
        <v>223</v>
      </c>
      <c r="C40" s="11" t="s">
        <v>224</v>
      </c>
      <c r="D40" s="10" t="s">
        <v>26</v>
      </c>
      <c r="E40" s="11" t="s">
        <v>51</v>
      </c>
      <c r="F40" s="11" t="s">
        <v>28</v>
      </c>
      <c r="G40" s="11" t="s">
        <v>223</v>
      </c>
      <c r="H40" s="12" t="s">
        <v>36</v>
      </c>
      <c r="I40" s="12" t="s">
        <v>37</v>
      </c>
      <c r="J40" s="12" t="s">
        <v>225</v>
      </c>
      <c r="K40" s="13" t="s">
        <v>31</v>
      </c>
      <c r="L40" s="33" t="s">
        <v>31</v>
      </c>
      <c r="M40" s="45"/>
      <c r="N40" s="37" t="s">
        <v>63</v>
      </c>
      <c r="O40" s="37"/>
      <c r="P40" s="37"/>
      <c r="Q40" s="38"/>
      <c r="R40" s="25"/>
      <c r="S40" s="39"/>
      <c r="T40" s="39"/>
      <c r="U40" s="39" t="str">
        <f t="shared" si="0"/>
        <v>Not Used</v>
      </c>
      <c r="V40" s="25"/>
    </row>
    <row r="41" spans="1:26" ht="29" x14ac:dyDescent="0.35">
      <c r="A41" s="10">
        <v>39</v>
      </c>
      <c r="B41" s="11" t="s">
        <v>226</v>
      </c>
      <c r="C41" s="11" t="s">
        <v>227</v>
      </c>
      <c r="D41" s="10" t="s">
        <v>26</v>
      </c>
      <c r="E41" s="11" t="s">
        <v>51</v>
      </c>
      <c r="F41" s="11" t="s">
        <v>28</v>
      </c>
      <c r="G41" s="11" t="s">
        <v>226</v>
      </c>
      <c r="H41" s="12" t="s">
        <v>36</v>
      </c>
      <c r="I41" s="12" t="s">
        <v>37</v>
      </c>
      <c r="J41" s="12" t="s">
        <v>228</v>
      </c>
      <c r="K41" s="13" t="s">
        <v>31</v>
      </c>
      <c r="L41" s="33" t="s">
        <v>31</v>
      </c>
      <c r="M41" s="45"/>
      <c r="N41" s="42"/>
      <c r="O41" s="34"/>
      <c r="P41" s="34"/>
      <c r="Q41" s="35"/>
      <c r="R41" s="41" t="s">
        <v>229</v>
      </c>
      <c r="S41" s="25"/>
      <c r="T41" s="25"/>
      <c r="U41" s="25" t="str">
        <f t="shared" si="0"/>
        <v>Not Used</v>
      </c>
      <c r="V41" s="34" t="s">
        <v>230</v>
      </c>
    </row>
    <row r="42" spans="1:26" x14ac:dyDescent="0.35">
      <c r="A42" s="10">
        <v>40</v>
      </c>
      <c r="B42" s="11" t="s">
        <v>231</v>
      </c>
      <c r="C42" s="11" t="s">
        <v>232</v>
      </c>
      <c r="D42" s="10" t="s">
        <v>26</v>
      </c>
      <c r="E42" s="11" t="s">
        <v>233</v>
      </c>
      <c r="F42" s="11" t="s">
        <v>28</v>
      </c>
      <c r="G42" s="11" t="s">
        <v>231</v>
      </c>
      <c r="H42" s="12" t="s">
        <v>36</v>
      </c>
      <c r="I42" s="12" t="s">
        <v>37</v>
      </c>
      <c r="J42" s="12" t="s">
        <v>234</v>
      </c>
      <c r="K42" s="13" t="s">
        <v>31</v>
      </c>
      <c r="L42" s="33" t="s">
        <v>31</v>
      </c>
      <c r="M42" s="45"/>
      <c r="N42" s="34" t="s">
        <v>85</v>
      </c>
      <c r="O42" s="34" t="s">
        <v>70</v>
      </c>
      <c r="P42" s="34" t="s">
        <v>40</v>
      </c>
      <c r="Q42" s="35" t="s">
        <v>56</v>
      </c>
      <c r="R42" s="25" t="s">
        <v>88</v>
      </c>
      <c r="S42" s="34" t="s">
        <v>89</v>
      </c>
      <c r="T42" s="34"/>
      <c r="U42" s="34" t="str">
        <f t="shared" si="0"/>
        <v>Used</v>
      </c>
      <c r="V42" s="34" t="s">
        <v>48</v>
      </c>
      <c r="W42" s="26"/>
      <c r="X42" s="26"/>
      <c r="Y42" s="26"/>
      <c r="Z42" s="26"/>
    </row>
    <row r="43" spans="1:26" x14ac:dyDescent="0.35">
      <c r="A43" s="10">
        <v>41</v>
      </c>
      <c r="B43" s="11" t="s">
        <v>235</v>
      </c>
      <c r="C43" s="11" t="s">
        <v>236</v>
      </c>
      <c r="D43" s="10" t="s">
        <v>26</v>
      </c>
      <c r="E43" s="11" t="s">
        <v>51</v>
      </c>
      <c r="F43" s="11" t="s">
        <v>28</v>
      </c>
      <c r="G43" s="11" t="s">
        <v>237</v>
      </c>
      <c r="H43" s="12" t="s">
        <v>36</v>
      </c>
      <c r="I43" s="12" t="s">
        <v>37</v>
      </c>
      <c r="J43" s="12" t="s">
        <v>238</v>
      </c>
      <c r="K43" s="13" t="s">
        <v>31</v>
      </c>
      <c r="L43" s="33" t="s">
        <v>31</v>
      </c>
      <c r="M43" s="45"/>
      <c r="N43" s="37" t="s">
        <v>63</v>
      </c>
      <c r="O43" s="37"/>
      <c r="P43" s="37"/>
      <c r="Q43" s="38"/>
      <c r="R43" s="25"/>
      <c r="S43" s="37"/>
      <c r="T43" s="37"/>
      <c r="U43" s="37" t="str">
        <f t="shared" si="0"/>
        <v>Not Used</v>
      </c>
      <c r="V43" s="34"/>
      <c r="W43" s="26"/>
      <c r="X43" s="26"/>
      <c r="Y43" s="26"/>
      <c r="Z43" s="26"/>
    </row>
    <row r="44" spans="1:26" x14ac:dyDescent="0.35">
      <c r="A44" s="10">
        <v>42</v>
      </c>
      <c r="B44" s="11" t="s">
        <v>239</v>
      </c>
      <c r="C44" s="11" t="s">
        <v>240</v>
      </c>
      <c r="D44" s="10" t="s">
        <v>26</v>
      </c>
      <c r="E44" s="11" t="s">
        <v>51</v>
      </c>
      <c r="F44" s="11" t="s">
        <v>28</v>
      </c>
      <c r="G44" s="11" t="s">
        <v>241</v>
      </c>
      <c r="H44" s="12" t="s">
        <v>36</v>
      </c>
      <c r="I44" s="12" t="s">
        <v>37</v>
      </c>
      <c r="J44" s="12" t="s">
        <v>242</v>
      </c>
      <c r="K44" s="13" t="s">
        <v>31</v>
      </c>
      <c r="L44" s="33" t="s">
        <v>31</v>
      </c>
      <c r="M44" s="45"/>
      <c r="N44" s="37" t="s">
        <v>63</v>
      </c>
      <c r="O44" s="37"/>
      <c r="P44" s="37"/>
      <c r="Q44" s="38"/>
      <c r="R44" s="25"/>
      <c r="S44" s="37"/>
      <c r="T44" s="37"/>
      <c r="U44" s="37" t="str">
        <f t="shared" si="0"/>
        <v>Not Used</v>
      </c>
      <c r="V44" s="34"/>
      <c r="W44" s="26"/>
      <c r="X44" s="26"/>
      <c r="Y44" s="26"/>
      <c r="Z44" s="26"/>
    </row>
    <row r="45" spans="1:26" x14ac:dyDescent="0.35">
      <c r="A45" s="10">
        <v>43</v>
      </c>
      <c r="B45" s="11" t="s">
        <v>243</v>
      </c>
      <c r="C45" s="11" t="s">
        <v>244</v>
      </c>
      <c r="D45" s="10" t="s">
        <v>26</v>
      </c>
      <c r="E45" s="11" t="s">
        <v>51</v>
      </c>
      <c r="F45" s="11" t="s">
        <v>28</v>
      </c>
      <c r="G45" s="11" t="s">
        <v>245</v>
      </c>
      <c r="H45" s="12" t="s">
        <v>36</v>
      </c>
      <c r="I45" s="12" t="s">
        <v>37</v>
      </c>
      <c r="J45" s="12" t="s">
        <v>246</v>
      </c>
      <c r="K45" s="13" t="s">
        <v>31</v>
      </c>
      <c r="L45" s="33" t="s">
        <v>31</v>
      </c>
      <c r="M45" s="45"/>
      <c r="N45" s="34" t="s">
        <v>247</v>
      </c>
      <c r="O45" s="34" t="s">
        <v>248</v>
      </c>
      <c r="P45" s="34" t="s">
        <v>40</v>
      </c>
      <c r="Q45" s="35"/>
      <c r="R45" s="25"/>
      <c r="S45" s="34"/>
      <c r="T45" s="34"/>
      <c r="U45" s="34" t="str">
        <f t="shared" si="0"/>
        <v>Not Used</v>
      </c>
      <c r="V45" s="34"/>
      <c r="W45" s="26"/>
      <c r="X45" s="26"/>
      <c r="Y45" s="26"/>
      <c r="Z45" s="26"/>
    </row>
    <row r="46" spans="1:26" x14ac:dyDescent="0.35">
      <c r="A46" s="10">
        <v>44</v>
      </c>
      <c r="B46" s="11" t="s">
        <v>249</v>
      </c>
      <c r="C46" s="11" t="s">
        <v>250</v>
      </c>
      <c r="D46" s="10" t="s">
        <v>26</v>
      </c>
      <c r="E46" s="11" t="s">
        <v>233</v>
      </c>
      <c r="F46" s="11" t="s">
        <v>28</v>
      </c>
      <c r="G46" s="11" t="s">
        <v>251</v>
      </c>
      <c r="H46" s="12" t="s">
        <v>36</v>
      </c>
      <c r="I46" s="12" t="s">
        <v>37</v>
      </c>
      <c r="J46" s="12" t="s">
        <v>252</v>
      </c>
      <c r="K46" s="13" t="s">
        <v>31</v>
      </c>
      <c r="L46" s="33" t="s">
        <v>31</v>
      </c>
      <c r="M46" s="45"/>
      <c r="N46" s="37" t="s">
        <v>63</v>
      </c>
      <c r="O46" s="37" t="s">
        <v>63</v>
      </c>
      <c r="P46" s="37"/>
      <c r="Q46" s="38"/>
      <c r="R46" s="25" t="s">
        <v>167</v>
      </c>
      <c r="S46" s="37"/>
      <c r="T46" s="37" t="s">
        <v>47</v>
      </c>
      <c r="U46" s="37" t="str">
        <f t="shared" si="0"/>
        <v>Used</v>
      </c>
      <c r="V46" s="34" t="s">
        <v>26</v>
      </c>
      <c r="W46" s="26"/>
      <c r="X46" s="26"/>
      <c r="Y46" s="26"/>
      <c r="Z46" s="26"/>
    </row>
    <row r="47" spans="1:26" x14ac:dyDescent="0.35">
      <c r="A47" s="10">
        <v>45</v>
      </c>
      <c r="B47" s="11" t="s">
        <v>253</v>
      </c>
      <c r="C47" s="11" t="s">
        <v>254</v>
      </c>
      <c r="D47" s="10" t="s">
        <v>26</v>
      </c>
      <c r="E47" s="11" t="s">
        <v>233</v>
      </c>
      <c r="F47" s="11" t="s">
        <v>28</v>
      </c>
      <c r="G47" s="11" t="s">
        <v>255</v>
      </c>
      <c r="H47" s="12" t="s">
        <v>36</v>
      </c>
      <c r="I47" s="12" t="s">
        <v>37</v>
      </c>
      <c r="J47" s="12" t="s">
        <v>256</v>
      </c>
      <c r="K47" s="13" t="s">
        <v>31</v>
      </c>
      <c r="L47" s="33" t="s">
        <v>31</v>
      </c>
      <c r="M47" s="45"/>
      <c r="N47" s="34" t="s">
        <v>257</v>
      </c>
      <c r="O47" s="34" t="s">
        <v>156</v>
      </c>
      <c r="P47" s="34" t="s">
        <v>40</v>
      </c>
      <c r="Q47" s="35" t="s">
        <v>56</v>
      </c>
      <c r="R47" s="25" t="s">
        <v>167</v>
      </c>
      <c r="S47" s="34"/>
      <c r="T47" s="34" t="s">
        <v>47</v>
      </c>
      <c r="U47" s="34" t="str">
        <f t="shared" si="0"/>
        <v>Used</v>
      </c>
      <c r="V47" s="34" t="s">
        <v>48</v>
      </c>
      <c r="W47" s="26"/>
      <c r="X47" s="26"/>
      <c r="Y47" s="26"/>
      <c r="Z47" s="26"/>
    </row>
    <row r="48" spans="1:26" x14ac:dyDescent="0.35">
      <c r="A48" s="10">
        <v>46</v>
      </c>
      <c r="B48" s="11" t="s">
        <v>258</v>
      </c>
      <c r="C48" s="11" t="s">
        <v>259</v>
      </c>
      <c r="D48" s="10" t="s">
        <v>26</v>
      </c>
      <c r="E48" s="11" t="s">
        <v>66</v>
      </c>
      <c r="F48" s="11" t="s">
        <v>28</v>
      </c>
      <c r="G48" s="11" t="s">
        <v>260</v>
      </c>
      <c r="H48" s="12" t="s">
        <v>36</v>
      </c>
      <c r="I48" s="12" t="s">
        <v>37</v>
      </c>
      <c r="J48" s="12" t="s">
        <v>261</v>
      </c>
      <c r="K48" s="13" t="s">
        <v>31</v>
      </c>
      <c r="L48" s="33" t="s">
        <v>31</v>
      </c>
      <c r="M48" s="45"/>
      <c r="N48" s="34" t="s">
        <v>262</v>
      </c>
      <c r="O48" s="34" t="s">
        <v>70</v>
      </c>
      <c r="P48" s="34" t="s">
        <v>40</v>
      </c>
      <c r="Q48" s="35" t="s">
        <v>56</v>
      </c>
      <c r="R48" s="25" t="s">
        <v>167</v>
      </c>
      <c r="S48" s="34"/>
      <c r="T48" s="34" t="s">
        <v>47</v>
      </c>
      <c r="U48" s="34" t="str">
        <f t="shared" si="0"/>
        <v>Used</v>
      </c>
      <c r="V48" s="34" t="s">
        <v>48</v>
      </c>
      <c r="W48" s="26"/>
      <c r="X48" s="26"/>
      <c r="Y48" s="26"/>
      <c r="Z48" s="26"/>
    </row>
    <row r="49" spans="1:26" ht="43.5" x14ac:dyDescent="0.35">
      <c r="A49" s="10">
        <v>47</v>
      </c>
      <c r="B49" s="11" t="s">
        <v>263</v>
      </c>
      <c r="C49" s="11" t="s">
        <v>264</v>
      </c>
      <c r="D49" s="10" t="s">
        <v>26</v>
      </c>
      <c r="E49" s="11" t="s">
        <v>66</v>
      </c>
      <c r="F49" s="11" t="s">
        <v>28</v>
      </c>
      <c r="G49" s="11" t="s">
        <v>265</v>
      </c>
      <c r="H49" s="12" t="s">
        <v>36</v>
      </c>
      <c r="I49" s="12" t="s">
        <v>37</v>
      </c>
      <c r="J49" s="12" t="s">
        <v>266</v>
      </c>
      <c r="K49" s="13" t="s">
        <v>31</v>
      </c>
      <c r="L49" s="33" t="s">
        <v>31</v>
      </c>
      <c r="M49" s="45"/>
      <c r="N49" s="34" t="s">
        <v>267</v>
      </c>
      <c r="O49" s="34" t="s">
        <v>70</v>
      </c>
      <c r="P49" s="34" t="s">
        <v>40</v>
      </c>
      <c r="Q49" s="35" t="s">
        <v>268</v>
      </c>
      <c r="R49" s="35" t="s">
        <v>269</v>
      </c>
      <c r="S49" s="34"/>
      <c r="T49" s="34" t="s">
        <v>47</v>
      </c>
      <c r="U49" s="34" t="str">
        <f t="shared" si="0"/>
        <v>Used</v>
      </c>
      <c r="V49" s="34" t="s">
        <v>270</v>
      </c>
      <c r="W49" s="26"/>
      <c r="X49" s="26"/>
      <c r="Y49" s="26"/>
      <c r="Z49" s="26"/>
    </row>
    <row r="50" spans="1:26" ht="29" x14ac:dyDescent="0.35">
      <c r="A50" s="10">
        <v>48</v>
      </c>
      <c r="B50" s="11" t="s">
        <v>271</v>
      </c>
      <c r="C50" s="11" t="s">
        <v>272</v>
      </c>
      <c r="D50" s="10" t="s">
        <v>26</v>
      </c>
      <c r="E50" s="11" t="s">
        <v>66</v>
      </c>
      <c r="F50" s="11" t="s">
        <v>28</v>
      </c>
      <c r="G50" s="11" t="s">
        <v>273</v>
      </c>
      <c r="H50" s="12" t="s">
        <v>36</v>
      </c>
      <c r="I50" s="12" t="s">
        <v>37</v>
      </c>
      <c r="J50" s="12" t="s">
        <v>274</v>
      </c>
      <c r="K50" s="13" t="s">
        <v>31</v>
      </c>
      <c r="L50" s="33" t="s">
        <v>31</v>
      </c>
      <c r="M50" s="45"/>
      <c r="N50" s="34" t="s">
        <v>275</v>
      </c>
      <c r="O50" s="34" t="s">
        <v>70</v>
      </c>
      <c r="P50" s="34" t="s">
        <v>40</v>
      </c>
      <c r="Q50" s="35" t="s">
        <v>276</v>
      </c>
      <c r="R50" s="25" t="s">
        <v>167</v>
      </c>
      <c r="S50" s="34"/>
      <c r="T50" s="34" t="s">
        <v>47</v>
      </c>
      <c r="U50" s="34" t="str">
        <f t="shared" si="0"/>
        <v>Used</v>
      </c>
      <c r="V50" s="34" t="s">
        <v>270</v>
      </c>
      <c r="W50" s="26"/>
      <c r="X50" s="26"/>
      <c r="Y50" s="26"/>
      <c r="Z50" s="26"/>
    </row>
    <row r="51" spans="1:26" x14ac:dyDescent="0.35">
      <c r="A51" s="10">
        <v>49</v>
      </c>
      <c r="B51" s="11" t="s">
        <v>277</v>
      </c>
      <c r="C51" s="11" t="s">
        <v>278</v>
      </c>
      <c r="D51" s="10" t="s">
        <v>26</v>
      </c>
      <c r="E51" s="11" t="s">
        <v>51</v>
      </c>
      <c r="F51" s="11" t="s">
        <v>28</v>
      </c>
      <c r="G51" s="11" t="s">
        <v>279</v>
      </c>
      <c r="H51" s="12" t="s">
        <v>36</v>
      </c>
      <c r="I51" s="12" t="s">
        <v>37</v>
      </c>
      <c r="J51" s="12" t="s">
        <v>280</v>
      </c>
      <c r="K51" s="13" t="s">
        <v>31</v>
      </c>
      <c r="L51" s="33" t="s">
        <v>31</v>
      </c>
      <c r="M51" s="45"/>
      <c r="N51" s="34" t="s">
        <v>150</v>
      </c>
      <c r="O51" s="34" t="s">
        <v>70</v>
      </c>
      <c r="P51" s="34" t="s">
        <v>40</v>
      </c>
      <c r="Q51" s="35" t="s">
        <v>56</v>
      </c>
      <c r="R51" s="25" t="s">
        <v>167</v>
      </c>
      <c r="S51" s="34"/>
      <c r="T51" s="34" t="s">
        <v>47</v>
      </c>
      <c r="U51" s="34" t="str">
        <f t="shared" si="0"/>
        <v>Used</v>
      </c>
      <c r="V51" s="34" t="s">
        <v>48</v>
      </c>
      <c r="W51" s="26"/>
      <c r="X51" s="26"/>
      <c r="Y51" s="26"/>
      <c r="Z51" s="26"/>
    </row>
    <row r="52" spans="1:26" x14ac:dyDescent="0.35">
      <c r="A52" s="10">
        <v>50</v>
      </c>
      <c r="B52" s="11" t="s">
        <v>281</v>
      </c>
      <c r="C52" s="11" t="s">
        <v>282</v>
      </c>
      <c r="D52" s="10" t="s">
        <v>26</v>
      </c>
      <c r="E52" s="11" t="s">
        <v>51</v>
      </c>
      <c r="F52" s="11" t="s">
        <v>28</v>
      </c>
      <c r="G52" s="11" t="s">
        <v>283</v>
      </c>
      <c r="H52" s="12" t="s">
        <v>36</v>
      </c>
      <c r="I52" s="12" t="s">
        <v>37</v>
      </c>
      <c r="J52" s="12" t="s">
        <v>284</v>
      </c>
      <c r="K52" s="13" t="s">
        <v>31</v>
      </c>
      <c r="L52" s="33" t="s">
        <v>31</v>
      </c>
      <c r="M52" s="45"/>
      <c r="N52" s="34" t="s">
        <v>285</v>
      </c>
      <c r="O52" s="34" t="s">
        <v>70</v>
      </c>
      <c r="P52" s="34" t="s">
        <v>40</v>
      </c>
      <c r="Q52" s="35" t="s">
        <v>56</v>
      </c>
      <c r="R52" s="25" t="s">
        <v>167</v>
      </c>
      <c r="S52" s="34"/>
      <c r="T52" s="34" t="s">
        <v>47</v>
      </c>
      <c r="U52" s="34" t="str">
        <f t="shared" si="0"/>
        <v>Used</v>
      </c>
      <c r="V52" s="34" t="s">
        <v>48</v>
      </c>
      <c r="W52" s="26"/>
      <c r="X52" s="26"/>
      <c r="Y52" s="26"/>
      <c r="Z52" s="26"/>
    </row>
    <row r="53" spans="1:26" x14ac:dyDescent="0.35">
      <c r="A53" s="10">
        <v>51</v>
      </c>
      <c r="B53" s="11" t="s">
        <v>286</v>
      </c>
      <c r="C53" s="11" t="s">
        <v>287</v>
      </c>
      <c r="D53" s="10" t="s">
        <v>26</v>
      </c>
      <c r="E53" s="11" t="s">
        <v>27</v>
      </c>
      <c r="F53" s="11" t="s">
        <v>28</v>
      </c>
      <c r="G53" s="11" t="s">
        <v>288</v>
      </c>
      <c r="H53" s="12" t="s">
        <v>36</v>
      </c>
      <c r="I53" s="12" t="s">
        <v>37</v>
      </c>
      <c r="J53" s="12" t="s">
        <v>38</v>
      </c>
      <c r="K53" s="13" t="s">
        <v>31</v>
      </c>
      <c r="L53" s="33" t="s">
        <v>31</v>
      </c>
      <c r="M53" s="45"/>
      <c r="N53" s="34" t="s">
        <v>289</v>
      </c>
      <c r="O53" s="34" t="s">
        <v>55</v>
      </c>
      <c r="P53" s="34" t="s">
        <v>40</v>
      </c>
      <c r="Q53" s="35" t="s">
        <v>56</v>
      </c>
      <c r="R53" s="25" t="s">
        <v>290</v>
      </c>
      <c r="S53" s="34"/>
      <c r="T53" s="34" t="s">
        <v>47</v>
      </c>
      <c r="U53" s="34" t="str">
        <f t="shared" si="0"/>
        <v>Used</v>
      </c>
      <c r="V53" s="34" t="s">
        <v>291</v>
      </c>
      <c r="W53" s="26"/>
      <c r="X53" s="26"/>
      <c r="Y53" s="26"/>
      <c r="Z53" s="26"/>
    </row>
    <row r="54" spans="1:26" x14ac:dyDescent="0.35">
      <c r="A54" s="10">
        <v>52</v>
      </c>
      <c r="B54" s="11" t="s">
        <v>292</v>
      </c>
      <c r="C54" s="11" t="s">
        <v>293</v>
      </c>
      <c r="D54" s="10" t="s">
        <v>26</v>
      </c>
      <c r="E54" s="11" t="s">
        <v>27</v>
      </c>
      <c r="F54" s="11" t="s">
        <v>28</v>
      </c>
      <c r="G54" s="11" t="s">
        <v>294</v>
      </c>
      <c r="H54" s="12" t="s">
        <v>36</v>
      </c>
      <c r="I54" s="12" t="s">
        <v>37</v>
      </c>
      <c r="J54" s="12" t="s">
        <v>38</v>
      </c>
      <c r="K54" s="13" t="s">
        <v>31</v>
      </c>
      <c r="L54" s="33" t="s">
        <v>31</v>
      </c>
      <c r="M54" s="45"/>
      <c r="N54" s="34" t="s">
        <v>292</v>
      </c>
      <c r="O54" s="34" t="s">
        <v>70</v>
      </c>
      <c r="P54" s="34" t="s">
        <v>40</v>
      </c>
      <c r="Q54" s="35" t="s">
        <v>56</v>
      </c>
      <c r="R54" s="25" t="s">
        <v>167</v>
      </c>
      <c r="S54" s="34"/>
      <c r="T54" s="34" t="s">
        <v>47</v>
      </c>
      <c r="U54" s="34" t="str">
        <f t="shared" si="0"/>
        <v>Used</v>
      </c>
      <c r="V54" s="34" t="s">
        <v>48</v>
      </c>
      <c r="W54" s="26"/>
      <c r="X54" s="26"/>
      <c r="Y54" s="26"/>
      <c r="Z54" s="26"/>
    </row>
    <row r="55" spans="1:26" ht="409.5" x14ac:dyDescent="0.35">
      <c r="A55" s="15">
        <v>53</v>
      </c>
      <c r="B55" s="16" t="s">
        <v>295</v>
      </c>
      <c r="C55" s="16" t="s">
        <v>296</v>
      </c>
      <c r="D55" s="10" t="s">
        <v>26</v>
      </c>
      <c r="E55" s="11" t="s">
        <v>66</v>
      </c>
      <c r="F55" s="11" t="s">
        <v>28</v>
      </c>
      <c r="G55" s="11" t="s">
        <v>297</v>
      </c>
      <c r="H55" s="12" t="s">
        <v>36</v>
      </c>
      <c r="I55" s="17" t="s">
        <v>37</v>
      </c>
      <c r="J55" s="18" t="s">
        <v>298</v>
      </c>
      <c r="K55" s="13" t="s">
        <v>31</v>
      </c>
      <c r="L55" s="33" t="s">
        <v>31</v>
      </c>
      <c r="M55" s="45"/>
      <c r="N55" s="35" t="s">
        <v>299</v>
      </c>
      <c r="O55" s="35" t="s">
        <v>300</v>
      </c>
      <c r="P55" s="34" t="s">
        <v>40</v>
      </c>
      <c r="Q55" s="35" t="s">
        <v>301</v>
      </c>
      <c r="R55" s="25" t="s">
        <v>302</v>
      </c>
      <c r="S55" s="34"/>
      <c r="T55" s="34" t="s">
        <v>47</v>
      </c>
      <c r="U55" s="34" t="str">
        <f t="shared" si="0"/>
        <v>Used</v>
      </c>
      <c r="V55" s="34" t="s">
        <v>48</v>
      </c>
      <c r="W55" s="26"/>
      <c r="X55" s="26"/>
      <c r="Y55" s="26"/>
      <c r="Z55" s="26"/>
    </row>
    <row r="56" spans="1:26" s="29" customFormat="1" x14ac:dyDescent="0.35">
      <c r="A56" s="19">
        <v>54</v>
      </c>
      <c r="B56" s="20" t="s">
        <v>303</v>
      </c>
      <c r="C56" s="21"/>
      <c r="D56" s="21"/>
      <c r="E56" s="21"/>
      <c r="F56" s="21"/>
      <c r="G56" s="21"/>
      <c r="H56" s="21"/>
      <c r="I56" s="21" t="s">
        <v>37</v>
      </c>
      <c r="J56" s="21"/>
      <c r="K56" s="19"/>
      <c r="L56" s="21"/>
      <c r="M56" s="46" t="s">
        <v>303</v>
      </c>
      <c r="N56" s="34" t="s">
        <v>303</v>
      </c>
      <c r="O56" s="34" t="s">
        <v>304</v>
      </c>
      <c r="P56" s="34" t="s">
        <v>40</v>
      </c>
      <c r="Q56" s="35" t="s">
        <v>56</v>
      </c>
      <c r="R56" s="43" t="s">
        <v>305</v>
      </c>
      <c r="S56" s="34"/>
      <c r="T56" s="34" t="s">
        <v>47</v>
      </c>
      <c r="U56" s="34" t="s">
        <v>337</v>
      </c>
      <c r="V56" s="34" t="s">
        <v>306</v>
      </c>
      <c r="W56" s="26"/>
      <c r="X56" s="26"/>
      <c r="Y56" s="26"/>
      <c r="Z56" s="26"/>
    </row>
    <row r="57" spans="1:26" s="29" customFormat="1" x14ac:dyDescent="0.35">
      <c r="A57" s="19">
        <v>55</v>
      </c>
      <c r="B57" s="20" t="s">
        <v>307</v>
      </c>
      <c r="C57" s="21"/>
      <c r="D57" s="21"/>
      <c r="E57" s="21"/>
      <c r="F57" s="21"/>
      <c r="G57" s="21"/>
      <c r="H57" s="21"/>
      <c r="I57" s="21" t="s">
        <v>37</v>
      </c>
      <c r="J57" s="21"/>
      <c r="K57" s="19"/>
      <c r="L57" s="21"/>
      <c r="M57" s="46" t="s">
        <v>307</v>
      </c>
      <c r="N57" s="34" t="s">
        <v>307</v>
      </c>
      <c r="O57" s="34" t="s">
        <v>304</v>
      </c>
      <c r="P57" s="34" t="s">
        <v>40</v>
      </c>
      <c r="Q57" s="35" t="s">
        <v>56</v>
      </c>
      <c r="R57" s="43" t="s">
        <v>305</v>
      </c>
      <c r="S57" s="34"/>
      <c r="T57" s="34" t="s">
        <v>47</v>
      </c>
      <c r="U57" s="34" t="s">
        <v>337</v>
      </c>
      <c r="V57" s="34" t="s">
        <v>306</v>
      </c>
      <c r="W57" s="26"/>
      <c r="X57" s="26"/>
      <c r="Y57" s="26"/>
      <c r="Z57" s="26"/>
    </row>
    <row r="58" spans="1:26" s="29" customFormat="1" x14ac:dyDescent="0.35">
      <c r="A58" s="19">
        <v>56</v>
      </c>
      <c r="B58" s="20" t="s">
        <v>308</v>
      </c>
      <c r="C58" s="21"/>
      <c r="D58" s="21"/>
      <c r="E58" s="21"/>
      <c r="F58" s="21"/>
      <c r="G58" s="21"/>
      <c r="H58" s="21"/>
      <c r="I58" s="21" t="s">
        <v>37</v>
      </c>
      <c r="J58" s="21"/>
      <c r="K58" s="19"/>
      <c r="L58" s="21"/>
      <c r="M58" s="46" t="s">
        <v>308</v>
      </c>
      <c r="N58" s="34" t="s">
        <v>308</v>
      </c>
      <c r="O58" s="34" t="s">
        <v>55</v>
      </c>
      <c r="P58" s="34" t="s">
        <v>40</v>
      </c>
      <c r="Q58" s="35" t="s">
        <v>56</v>
      </c>
      <c r="R58" s="43" t="s">
        <v>305</v>
      </c>
      <c r="S58" s="34"/>
      <c r="T58" s="34" t="s">
        <v>47</v>
      </c>
      <c r="U58" s="34" t="s">
        <v>337</v>
      </c>
      <c r="V58" s="34" t="s">
        <v>306</v>
      </c>
      <c r="W58" s="26"/>
      <c r="X58" s="26"/>
      <c r="Y58" s="26"/>
      <c r="Z58" s="26"/>
    </row>
    <row r="59" spans="1:26" s="29" customFormat="1" x14ac:dyDescent="0.35">
      <c r="A59" s="19">
        <v>57</v>
      </c>
      <c r="B59" s="21" t="s">
        <v>309</v>
      </c>
      <c r="C59" s="21"/>
      <c r="D59" s="21"/>
      <c r="E59" s="21"/>
      <c r="F59" s="21"/>
      <c r="G59" s="21"/>
      <c r="H59" s="21"/>
      <c r="I59" s="21" t="s">
        <v>37</v>
      </c>
      <c r="J59" s="21"/>
      <c r="K59" s="19"/>
      <c r="L59" s="21"/>
      <c r="M59" s="46" t="s">
        <v>310</v>
      </c>
      <c r="N59" s="34" t="s">
        <v>310</v>
      </c>
      <c r="O59" s="34" t="s">
        <v>55</v>
      </c>
      <c r="P59" s="34" t="s">
        <v>40</v>
      </c>
      <c r="Q59" s="35" t="s">
        <v>56</v>
      </c>
      <c r="R59" s="43" t="s">
        <v>305</v>
      </c>
      <c r="S59" s="34"/>
      <c r="T59" s="34" t="s">
        <v>47</v>
      </c>
      <c r="U59" s="34" t="s">
        <v>337</v>
      </c>
      <c r="V59" s="34" t="s">
        <v>306</v>
      </c>
      <c r="W59" s="26"/>
      <c r="X59" s="26"/>
      <c r="Y59" s="26"/>
      <c r="Z59" s="26"/>
    </row>
    <row r="60" spans="1:26" s="29" customFormat="1" x14ac:dyDescent="0.35">
      <c r="A60" s="19">
        <v>58</v>
      </c>
      <c r="B60" s="21" t="s">
        <v>311</v>
      </c>
      <c r="C60" s="21"/>
      <c r="D60" s="21"/>
      <c r="E60" s="21"/>
      <c r="F60" s="21"/>
      <c r="G60" s="21"/>
      <c r="H60" s="21"/>
      <c r="I60" s="21" t="s">
        <v>37</v>
      </c>
      <c r="J60" s="21"/>
      <c r="K60" s="19"/>
      <c r="L60" s="21"/>
      <c r="M60" s="46" t="s">
        <v>312</v>
      </c>
      <c r="N60" s="34" t="s">
        <v>312</v>
      </c>
      <c r="O60" s="34" t="s">
        <v>55</v>
      </c>
      <c r="P60" s="34" t="s">
        <v>40</v>
      </c>
      <c r="Q60" s="35" t="s">
        <v>56</v>
      </c>
      <c r="R60" s="43" t="s">
        <v>305</v>
      </c>
      <c r="S60" s="34"/>
      <c r="T60" s="34" t="s">
        <v>47</v>
      </c>
      <c r="U60" s="34" t="s">
        <v>337</v>
      </c>
      <c r="V60" s="34" t="s">
        <v>306</v>
      </c>
      <c r="W60" s="26"/>
      <c r="X60" s="26"/>
      <c r="Y60" s="26"/>
      <c r="Z60" s="26"/>
    </row>
    <row r="61" spans="1:26" s="29" customFormat="1" x14ac:dyDescent="0.35">
      <c r="A61" s="19">
        <v>59</v>
      </c>
      <c r="B61" s="21" t="s">
        <v>313</v>
      </c>
      <c r="C61" s="21"/>
      <c r="D61" s="21"/>
      <c r="E61" s="21"/>
      <c r="F61" s="21"/>
      <c r="G61" s="21"/>
      <c r="H61" s="21"/>
      <c r="I61" s="21" t="s">
        <v>37</v>
      </c>
      <c r="J61" s="21"/>
      <c r="K61" s="19"/>
      <c r="L61" s="21"/>
      <c r="M61" s="46" t="s">
        <v>313</v>
      </c>
      <c r="N61" s="34" t="s">
        <v>313</v>
      </c>
      <c r="O61" s="34" t="s">
        <v>55</v>
      </c>
      <c r="P61" s="34" t="s">
        <v>40</v>
      </c>
      <c r="Q61" s="35" t="s">
        <v>56</v>
      </c>
      <c r="R61" s="43" t="s">
        <v>305</v>
      </c>
      <c r="S61" s="34"/>
      <c r="T61" s="34" t="s">
        <v>47</v>
      </c>
      <c r="U61" s="34" t="s">
        <v>337</v>
      </c>
      <c r="V61" s="34" t="s">
        <v>306</v>
      </c>
      <c r="W61" s="26"/>
      <c r="X61" s="26"/>
      <c r="Y61" s="26"/>
      <c r="Z61" s="26"/>
    </row>
    <row r="62" spans="1:26" ht="29" x14ac:dyDescent="0.35">
      <c r="A62" s="19">
        <v>60</v>
      </c>
      <c r="B62" s="21" t="s">
        <v>314</v>
      </c>
      <c r="C62" s="21"/>
      <c r="D62" s="21"/>
      <c r="E62" s="21"/>
      <c r="F62" s="21"/>
      <c r="G62" s="21"/>
      <c r="H62" s="21"/>
      <c r="I62" s="21"/>
      <c r="J62" s="21"/>
      <c r="K62" s="21"/>
      <c r="L62" s="21"/>
      <c r="M62" s="45" t="s">
        <v>177</v>
      </c>
      <c r="N62" s="34" t="s">
        <v>177</v>
      </c>
      <c r="O62" s="34" t="s">
        <v>156</v>
      </c>
      <c r="P62" s="34" t="s">
        <v>40</v>
      </c>
      <c r="Q62" s="35" t="s">
        <v>56</v>
      </c>
      <c r="R62" s="41" t="s">
        <v>162</v>
      </c>
      <c r="S62" s="25" t="s">
        <v>315</v>
      </c>
      <c r="T62" s="25"/>
      <c r="U62" s="34" t="s">
        <v>337</v>
      </c>
      <c r="V62" s="34" t="s">
        <v>306</v>
      </c>
      <c r="W62" s="26"/>
      <c r="X62" s="26"/>
      <c r="Y62" s="26"/>
      <c r="Z62" s="26"/>
    </row>
    <row r="63" spans="1:26" ht="29" x14ac:dyDescent="0.35">
      <c r="A63" s="19">
        <v>61</v>
      </c>
      <c r="B63" s="21" t="s">
        <v>316</v>
      </c>
      <c r="C63" s="21"/>
      <c r="D63" s="21"/>
      <c r="E63" s="21"/>
      <c r="F63" s="21"/>
      <c r="G63" s="21"/>
      <c r="H63" s="21"/>
      <c r="I63" s="21"/>
      <c r="J63" s="21"/>
      <c r="K63" s="21"/>
      <c r="L63" s="21"/>
      <c r="M63" s="45" t="s">
        <v>181</v>
      </c>
      <c r="N63" s="34" t="s">
        <v>181</v>
      </c>
      <c r="O63" s="34" t="s">
        <v>156</v>
      </c>
      <c r="P63" s="34" t="s">
        <v>40</v>
      </c>
      <c r="Q63" s="35" t="s">
        <v>56</v>
      </c>
      <c r="R63" s="41" t="s">
        <v>162</v>
      </c>
      <c r="S63" s="25" t="s">
        <v>317</v>
      </c>
      <c r="T63" s="25"/>
      <c r="U63" s="34" t="s">
        <v>337</v>
      </c>
      <c r="V63" s="34" t="s">
        <v>306</v>
      </c>
    </row>
    <row r="71" spans="1:18" x14ac:dyDescent="0.35">
      <c r="A71" t="s">
        <v>318</v>
      </c>
      <c r="B71">
        <v>53</v>
      </c>
    </row>
    <row r="72" spans="1:18" x14ac:dyDescent="0.35">
      <c r="C72" t="s">
        <v>319</v>
      </c>
    </row>
    <row r="73" spans="1:18" x14ac:dyDescent="0.35">
      <c r="C73" s="1" t="s">
        <v>320</v>
      </c>
    </row>
    <row r="74" spans="1:18" x14ac:dyDescent="0.35">
      <c r="C74" s="1" t="s">
        <v>321</v>
      </c>
    </row>
    <row r="75" spans="1:18" x14ac:dyDescent="0.35">
      <c r="C75" s="1" t="s">
        <v>322</v>
      </c>
      <c r="O75" s="23"/>
    </row>
    <row r="76" spans="1:18" x14ac:dyDescent="0.35">
      <c r="C76" s="1" t="s">
        <v>323</v>
      </c>
      <c r="O76" s="23"/>
    </row>
    <row r="77" spans="1:18" x14ac:dyDescent="0.35">
      <c r="C77" s="1" t="s">
        <v>324</v>
      </c>
      <c r="O77" s="23"/>
    </row>
    <row r="78" spans="1:18" x14ac:dyDescent="0.35">
      <c r="C78" s="12" t="s">
        <v>325</v>
      </c>
    </row>
    <row r="79" spans="1:18" x14ac:dyDescent="0.35">
      <c r="O79" s="6" t="s">
        <v>326</v>
      </c>
    </row>
    <row r="80" spans="1:18" x14ac:dyDescent="0.35">
      <c r="O80" s="24" t="s">
        <v>327</v>
      </c>
      <c r="P80" s="24"/>
      <c r="Q80" s="31"/>
      <c r="R80" s="25"/>
    </row>
    <row r="81" spans="15:18" x14ac:dyDescent="0.35">
      <c r="O81" s="24">
        <v>3</v>
      </c>
      <c r="P81" s="24" t="s">
        <v>328</v>
      </c>
      <c r="Q81" s="31"/>
      <c r="R81" s="25"/>
    </row>
    <row r="82" spans="15:18" x14ac:dyDescent="0.35">
      <c r="O82" s="24">
        <v>22</v>
      </c>
      <c r="P82" s="24" t="s">
        <v>329</v>
      </c>
      <c r="Q82" s="31"/>
      <c r="R82" s="25"/>
    </row>
    <row r="83" spans="15:18" x14ac:dyDescent="0.35">
      <c r="O83" s="24">
        <v>28</v>
      </c>
      <c r="P83" s="24" t="s">
        <v>330</v>
      </c>
      <c r="Q83" s="31"/>
      <c r="R83" s="25"/>
    </row>
    <row r="84" spans="15:18" x14ac:dyDescent="0.35">
      <c r="O84" s="24"/>
      <c r="P84" s="24">
        <v>14</v>
      </c>
      <c r="Q84" s="31"/>
      <c r="R84" s="25" t="s">
        <v>331</v>
      </c>
    </row>
    <row r="85" spans="15:18" x14ac:dyDescent="0.35">
      <c r="O85" s="24"/>
      <c r="P85" s="24"/>
      <c r="Q85" s="31"/>
      <c r="R85" s="25" t="s">
        <v>332</v>
      </c>
    </row>
    <row r="86" spans="15:18" x14ac:dyDescent="0.35">
      <c r="O86" s="24"/>
      <c r="P86" s="24"/>
      <c r="Q86" s="31"/>
      <c r="R86" s="25" t="s">
        <v>333</v>
      </c>
    </row>
    <row r="87" spans="15:18" x14ac:dyDescent="0.35">
      <c r="O87" s="24"/>
      <c r="P87" s="24"/>
      <c r="Q87" s="31"/>
      <c r="R87" s="25" t="s">
        <v>334</v>
      </c>
    </row>
    <row r="88" spans="15:18" x14ac:dyDescent="0.35">
      <c r="O88" s="24"/>
      <c r="P88" s="24">
        <v>16</v>
      </c>
      <c r="Q88" s="31"/>
      <c r="R88" s="25" t="s">
        <v>335</v>
      </c>
    </row>
    <row r="89" spans="15:18" x14ac:dyDescent="0.35">
      <c r="O89" s="24"/>
      <c r="P89" s="24"/>
      <c r="Q89" s="31"/>
      <c r="R89" s="25"/>
    </row>
  </sheetData>
  <autoFilter ref="A2:W63" xr:uid="{FA0C7AD3-303F-46F2-98D9-634C89E6E9A6}"/>
  <mergeCells count="2">
    <mergeCell ref="N1:Q1"/>
    <mergeCell ref="G1:J1"/>
  </mergeCells>
  <dataValidations count="1">
    <dataValidation type="list" allowBlank="1" showInputMessage="1" showErrorMessage="1" sqref="K3:M55 N3:N5 M62:M63" xr:uid="{0BE667E0-34EF-410C-89E0-DDA7130D4BB7}">
      <formula1>"Yes, No"</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7CB54C9FE3E441A0FBAC334AEF421B" ma:contentTypeVersion="20" ma:contentTypeDescription="Create a new document." ma:contentTypeScope="" ma:versionID="4c98aefee40dd696456ddf5fd80623c9">
  <xsd:schema xmlns:xsd="http://www.w3.org/2001/XMLSchema" xmlns:xs="http://www.w3.org/2001/XMLSchema" xmlns:p="http://schemas.microsoft.com/office/2006/metadata/properties" xmlns:ns1="http://schemas.microsoft.com/sharepoint/v3" xmlns:ns2="ce2e4911-f2be-4082-aab7-398eea9c25ed" xmlns:ns3="7dfd0bc0-2f66-44c7-ab77-09d5d967757f" targetNamespace="http://schemas.microsoft.com/office/2006/metadata/properties" ma:root="true" ma:fieldsID="586e0c31d5fd22554b3685a5e21fdb1d" ns1:_="" ns2:_="" ns3:_="">
    <xsd:import namespace="http://schemas.microsoft.com/sharepoint/v3"/>
    <xsd:import namespace="ce2e4911-f2be-4082-aab7-398eea9c25ed"/>
    <xsd:import namespace="7dfd0bc0-2f66-44c7-ab77-09d5d96775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2e4911-f2be-4082-aab7-398eea9c25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fd0bc0-2f66-44c7-ab77-09d5d96775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47a4637-03f8-4e55-9918-9ed6a73d217d}" ma:internalName="TaxCatchAll" ma:showField="CatchAllData" ma:web="7dfd0bc0-2f66-44c7-ab77-09d5d96775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2e4911-f2be-4082-aab7-398eea9c25ed">
      <Terms xmlns="http://schemas.microsoft.com/office/infopath/2007/PartnerControls"/>
    </lcf76f155ced4ddcb4097134ff3c332f>
    <TaxCatchAll xmlns="7dfd0bc0-2f66-44c7-ab77-09d5d967757f" xsi:nil="true"/>
  </documentManagement>
</p:properties>
</file>

<file path=customXml/itemProps1.xml><?xml version="1.0" encoding="utf-8"?>
<ds:datastoreItem xmlns:ds="http://schemas.openxmlformats.org/officeDocument/2006/customXml" ds:itemID="{E9CC1AF2-8890-4B1B-8565-7289788C8FBB}">
  <ds:schemaRefs>
    <ds:schemaRef ds:uri="http://schemas.microsoft.com/sharepoint/v3/contenttype/forms"/>
  </ds:schemaRefs>
</ds:datastoreItem>
</file>

<file path=customXml/itemProps2.xml><?xml version="1.0" encoding="utf-8"?>
<ds:datastoreItem xmlns:ds="http://schemas.openxmlformats.org/officeDocument/2006/customXml" ds:itemID="{1DAC2FE4-EE3B-40F4-B1F4-022BC1529C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2e4911-f2be-4082-aab7-398eea9c25ed"/>
    <ds:schemaRef ds:uri="7dfd0bc0-2f66-44c7-ab77-09d5d96775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8FD23A-A455-498D-B549-F373116796E5}">
  <ds:schemaRefs>
    <ds:schemaRef ds:uri="http://schemas.microsoft.com/office/2006/metadata/properties"/>
    <ds:schemaRef ds:uri="http://schemas.microsoft.com/office/infopath/2007/PartnerControls"/>
    <ds:schemaRef ds:uri="http://schemas.microsoft.com/sharepoint/v3"/>
    <ds:schemaRef ds:uri="ce2e4911-f2be-4082-aab7-398eea9c25ed"/>
    <ds:schemaRef ds:uri="7dfd0bc0-2f66-44c7-ab77-09d5d96775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Ioannides, Maryanne</dc:creator>
  <cp:keywords/>
  <dc:description/>
  <cp:lastModifiedBy>Escudero, Celia (Santander UK)</cp:lastModifiedBy>
  <cp:revision/>
  <dcterms:created xsi:type="dcterms:W3CDTF">2025-04-16T11:06:27Z</dcterms:created>
  <dcterms:modified xsi:type="dcterms:W3CDTF">2026-05-19T08:35:02Z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2025-04-16T12:10:40Z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94e12aa9-6f46-44c6-b32c-fed362a2eddb</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0x010100027CB54C9FE3E441A0FBAC334AEF421B</vt:lpwstr>
  </property>
  <property fmtid="{D5CDD505-2E9C-101B-9397-08002B2CF9AE}" pid="11" name="MediaServiceImageTags">
    <vt:lpwstr/>
  </property>
</Properties>
</file>