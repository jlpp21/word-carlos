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SANUK-NFQteam/Shared Documents/General/08. Uk Hybrid Model/SourceTracker &amp; Controles - Templates/"/>
    </mc:Choice>
  </mc:AlternateContent>
  <xr:revisionPtr revIDLastSave="838" documentId="8_{AF44AA8A-4DFD-4EC3-BF72-C4A81174D50C}" xr6:coauthVersionLast="47" xr6:coauthVersionMax="47" xr10:uidLastSave="{B192AA5D-8190-446F-9910-F698320A79F0}"/>
  <bookViews>
    <workbookView xWindow="-120" yWindow="-120" windowWidth="29040" windowHeight="13515" tabRatio="701" xr2:uid="{F8277C07-EA9B-4241-A214-B6A074DD0C77}"/>
  </bookViews>
  <sheets>
    <sheet name="CONTROL INV COLUMS DESCRIPTION" sheetId="10" r:id="rId1"/>
    <sheet name="NEW_CONTROLS_ADDITIONS" sheetId="6" r:id="rId2"/>
    <sheet name="EXISTING_CONTROLS_CHANGES" sheetId="7" r:id="rId3"/>
    <sheet name="EXISTING_CONTROLS_REMOVAL" sheetId="8" r:id="rId4"/>
  </sheets>
  <definedNames>
    <definedName name="_xlnm._FilterDatabase" localSheetId="0" hidden="1">'CONTROL INV COLUMS DESCRIPTION'!$A$1:$C$36</definedName>
    <definedName name="_xlnm._FilterDatabase" localSheetId="2" hidden="1">EXISTING_CONTROLS_CHANGES!$A$1:$AJ$1</definedName>
    <definedName name="_xlnm._FilterDatabase" localSheetId="3" hidden="1">EXISTING_CONTROLS_REMOVAL!$A$1:$AJ$1</definedName>
    <definedName name="_xlnm._FilterDatabase" localSheetId="1" hidden="1">NEW_CONTROLS_ADDITIONS!$A$1:$AI$1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6" l="1"/>
  <c r="I51" i="6"/>
  <c r="I52" i="6"/>
  <c r="I53" i="6"/>
  <c r="I54" i="6"/>
  <c r="I55" i="6"/>
  <c r="I49" i="6"/>
  <c r="I35" i="6"/>
  <c r="I36" i="6"/>
  <c r="I37" i="6"/>
  <c r="I38" i="6"/>
  <c r="I39" i="6"/>
  <c r="I40" i="6"/>
  <c r="I34" i="6"/>
  <c r="I22" i="6" l="1"/>
  <c r="I23" i="6"/>
  <c r="I24" i="6"/>
  <c r="I25" i="6"/>
  <c r="I26" i="6"/>
  <c r="I27" i="6"/>
  <c r="I28" i="6"/>
  <c r="I29" i="6"/>
  <c r="I30" i="6"/>
  <c r="I31" i="6"/>
  <c r="I32" i="6"/>
  <c r="I41" i="6"/>
  <c r="I42" i="6"/>
  <c r="I43" i="6"/>
  <c r="I44" i="6"/>
  <c r="I45" i="6"/>
  <c r="I46" i="6"/>
  <c r="I47" i="6"/>
  <c r="I56" i="6"/>
  <c r="I57" i="6"/>
  <c r="I58" i="6"/>
  <c r="I59" i="6"/>
  <c r="I60" i="6"/>
  <c r="I61" i="6"/>
  <c r="I62" i="6"/>
  <c r="I63" i="6"/>
  <c r="I18" i="6"/>
  <c r="I19" i="6"/>
  <c r="I20" i="6"/>
  <c r="I2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2" i="6"/>
</calcChain>
</file>

<file path=xl/sharedStrings.xml><?xml version="1.0" encoding="utf-8"?>
<sst xmlns="http://schemas.openxmlformats.org/spreadsheetml/2006/main" count="1533" uniqueCount="175">
  <si>
    <t>REQUIREMENT</t>
  </si>
  <si>
    <t>COLUMN NAME</t>
  </si>
  <si>
    <t>COLUMN NAME DESCRIPTION</t>
  </si>
  <si>
    <t>Optional</t>
  </si>
  <si>
    <t>CTRL_REFERENCE</t>
  </si>
  <si>
    <t xml:space="preserve">Unique identifier assigned to each control </t>
  </si>
  <si>
    <t>Mandatory</t>
  </si>
  <si>
    <t>SME_INVENTORY_REF</t>
  </si>
  <si>
    <t>Control Operator/ SME own reference of idendification</t>
  </si>
  <si>
    <t>HERACLES_REF</t>
  </si>
  <si>
    <t>Reference ID if the Control is listed in Heracles RCSA (Risk Control &amp; Selft Assessment)</t>
  </si>
  <si>
    <t>RCSA_RISK_LEVEL</t>
  </si>
  <si>
    <t>Risk event taxonomy to identify the risk event most applicable to the business area</t>
  </si>
  <si>
    <t>SEGMENT</t>
  </si>
  <si>
    <t>Segment of the business classification for example Business Banking, Retail Banking, Corporate Banking</t>
  </si>
  <si>
    <t>DIRECTORATE</t>
  </si>
  <si>
    <t>Business Area like CDO, CFO, CIO, Cater Allen, SCF (Santander Consumer Finance)</t>
  </si>
  <si>
    <t>CONTROL_OWNER</t>
  </si>
  <si>
    <t>A named person who is responsible for the Control/ Business Process Owner</t>
  </si>
  <si>
    <t>SME_CONTROL_OPERATOR</t>
  </si>
  <si>
    <t>A named person resposible to execute control on behalf of the Control Owner/Business Process Owner</t>
  </si>
  <si>
    <t>CONTROL_NAME</t>
  </si>
  <si>
    <t>Clear, descriptive name of the control</t>
  </si>
  <si>
    <t>CONTROL_DESCRIPTION</t>
  </si>
  <si>
    <t>A clear control description without the use of jargon or acronyms to explain the specific details of task(s) being performed to explain what the control is doing.</t>
  </si>
  <si>
    <t>CONTROL_PURPOSE</t>
  </si>
  <si>
    <t>Purpose of the control design to effectively mitigate a risk</t>
  </si>
  <si>
    <t>OE_AUDITABLE</t>
  </si>
  <si>
    <t>Documentation and evidence available to show who performed the control, when it was performed and who validated the control (OE = Operational Effeciveness)</t>
  </si>
  <si>
    <t>OE_ESCALATION_POINT</t>
  </si>
  <si>
    <t>A named person assigned to the control in case of control failuire, theshold failure or unexpected results (OE = Operational Effeciveness)</t>
  </si>
  <si>
    <t>OE_FREQUENCY</t>
  </si>
  <si>
    <t>How frequently is the control performed (e.g., daily, monthly)? (OE = Operational Effeciveness)</t>
  </si>
  <si>
    <t>OE_THRESHOLD</t>
  </si>
  <si>
    <t>Threshold assigned to the control output by Control Owner (OE = Operational Effeciveness)</t>
  </si>
  <si>
    <t>AUTOMATION</t>
  </si>
  <si>
    <t>Execution of control either Manual, Semi Automated or Fully Automated</t>
  </si>
  <si>
    <t>CONTROL_TYPE</t>
  </si>
  <si>
    <t>Preventative, Detective, Corrective, Governance, SoX, Regulatory FSCS, BCBS 239, SMC (Special Monitoring Controls)</t>
  </si>
  <si>
    <t>CONTROL_LEVEL</t>
  </si>
  <si>
    <t>Field level, Table level, System level, Process level</t>
  </si>
  <si>
    <t>CONTROL_PROCESS</t>
  </si>
  <si>
    <t>Control business process</t>
  </si>
  <si>
    <t>CONTROL_TOOL</t>
  </si>
  <si>
    <t>Tool used to excecute data control for example SAS, Microstrategy, Query Runner, MS Access etc</t>
  </si>
  <si>
    <t>SYSTEM_BEING_TESTED</t>
  </si>
  <si>
    <t>System of Control execution for example ANMF, ALFA, BDP, PCAS, PARTENON</t>
  </si>
  <si>
    <t>DATABASE_NAME</t>
  </si>
  <si>
    <t>Name of the source Database</t>
  </si>
  <si>
    <t>TABLE_NAME</t>
  </si>
  <si>
    <t>Name of the source Table</t>
  </si>
  <si>
    <t>FIELD_NAME</t>
  </si>
  <si>
    <t>Name of the Field Name from the source table</t>
  </si>
  <si>
    <t>COMPLETENESS_DIMENSION</t>
  </si>
  <si>
    <t>Key data quality dimension of Completeness</t>
  </si>
  <si>
    <t>ACCURACY_DIMENSION</t>
  </si>
  <si>
    <t>Key data quality dimension of Accuracy</t>
  </si>
  <si>
    <t>CONSISTENCY_DIMENSION</t>
  </si>
  <si>
    <t>Key data quality dimension of Consistency</t>
  </si>
  <si>
    <t>TIMELINESS_DIMENSION</t>
  </si>
  <si>
    <t>Key data quality dimension of Timeliness</t>
  </si>
  <si>
    <t>VALIDITY_DIMENSION</t>
  </si>
  <si>
    <t>Key data quality dimension of Validity</t>
  </si>
  <si>
    <t>CRITICALITY</t>
  </si>
  <si>
    <t>High/Medium/Low. Criticality is based on the potential impact to confidentiality, integrity, availability or regulatory compliance if that control fails</t>
  </si>
  <si>
    <t>STATUS</t>
  </si>
  <si>
    <t>Status of Control listed as "ACTIVE" or "INACTIVE"</t>
  </si>
  <si>
    <t>CHANGE_REFERENCE</t>
  </si>
  <si>
    <t>Reference given when data was updated/added to controls inventory</t>
  </si>
  <si>
    <t>CHANGE_DATE</t>
  </si>
  <si>
    <t>Date on which data was updated/added to controls inventory</t>
  </si>
  <si>
    <t>LAST_REVIEW_DATE (SME)</t>
  </si>
  <si>
    <t>Last attestation date of the control by the Data Owner/SME</t>
  </si>
  <si>
    <t>CONTROL_POINT</t>
  </si>
  <si>
    <t>Control Point of Data Capture (CP1 - CP5) - Please ask Data Governance Team for further details</t>
  </si>
  <si>
    <t>LAST_REVIEW_DATE(SME)</t>
  </si>
  <si>
    <t>CONTROL POINT</t>
  </si>
  <si>
    <t>Not Applicable</t>
  </si>
  <si>
    <t>Homes</t>
  </si>
  <si>
    <t>CIO</t>
  </si>
  <si>
    <t>David House (David.House2@santander.co.uk)</t>
  </si>
  <si>
    <t>Hybrid's Team</t>
  </si>
  <si>
    <t>Count the number of records where RegionIDDesc is null or blank</t>
  </si>
  <si>
    <t xml:space="preserve">Validate the data ingested does not have null or blank records </t>
  </si>
  <si>
    <t>The number of records where RegionIDDesc is null or blank</t>
  </si>
  <si>
    <t>If records with null or blank &gt; 1, check overall data validity, then inform David House if data is not acceptable for ingestion (David.House2@santander.co.uk)</t>
  </si>
  <si>
    <t>Last Friday of every Year</t>
  </si>
  <si>
    <t>Automated</t>
  </si>
  <si>
    <t>Detective</t>
  </si>
  <si>
    <t>Field Level</t>
  </si>
  <si>
    <t>Athena-AWS</t>
  </si>
  <si>
    <t>Hometrack_EPR_Annual_20XX_format1</t>
  </si>
  <si>
    <t>Hometrack_EPR_Annual_20XX_forma</t>
  </si>
  <si>
    <t>RegionIDDesc</t>
  </si>
  <si>
    <t>COMPLETENESS</t>
  </si>
  <si>
    <t>MEDIUM</t>
  </si>
  <si>
    <t>INACTIVE</t>
  </si>
  <si>
    <t>Count the number of records where RegionIDDesc not in valid list of values</t>
  </si>
  <si>
    <t>Validate the records are within the accepted list of values</t>
  </si>
  <si>
    <t>The number of records where RegionIDDesc not in valid list of values ('East Anglia','East Midlands','Greater London','North West','North','Nthn Ireland','Scotland','South East','South West','Wales','West Midlands','Yorkshire &amp; Humberside','Total')</t>
  </si>
  <si>
    <t>If number of records not within accepted range of values &gt; 1, check overall data validity, then inform David House if data is not acceptable for ingestion (David.House2@santander.co.uk)</t>
  </si>
  <si>
    <t>Count the number of records where Year is null or blank</t>
  </si>
  <si>
    <t>The number of records where Year is null or blank</t>
  </si>
  <si>
    <t>Year</t>
  </si>
  <si>
    <t>Count the number of records where Period is null or blank</t>
  </si>
  <si>
    <t>The number of records where Period is null or blank</t>
  </si>
  <si>
    <t>Period</t>
  </si>
  <si>
    <t>Count the number of records where Period not in ('A01')</t>
  </si>
  <si>
    <t>The number of records where Period not in ('A01')</t>
  </si>
  <si>
    <t>Count the numer of records where Standard_Average_Price is null or blank</t>
  </si>
  <si>
    <t xml:space="preserve">Validate the data ingested do not have null or blank records </t>
  </si>
  <si>
    <t>The numer of records where Standard_Average_Price is null or blank</t>
  </si>
  <si>
    <t>Standard_Average_Price</t>
  </si>
  <si>
    <t>Count the numer of records where Standard_Average_Price &lt; 0</t>
  </si>
  <si>
    <t>Validate the data is within the acceptable range of values</t>
  </si>
  <si>
    <t>The numer of records where Standard_Average_Price &lt; 0</t>
  </si>
  <si>
    <t>If numer of records where Standard_Average_Price &lt; 0 is &gt; 1, check overall data validity, then inform David House if data is not acceptable for ingestion (David.House2@santander.co.uk)</t>
  </si>
  <si>
    <t>Verify the file lands in Santander on agreed WDs on a annual basis</t>
  </si>
  <si>
    <t>Validate the data has been received on the correct day and is available for ingestion</t>
  </si>
  <si>
    <t>The file for the correct period has landed on the last Friday of the Month</t>
  </si>
  <si>
    <t>If file for correct period has not landed on the last Friday of the Month, then use prior period file for ingestion and inform David House (David.House2@santander.co.uk)</t>
  </si>
  <si>
    <t>System Level</t>
  </si>
  <si>
    <t>FILE LEVEL</t>
  </si>
  <si>
    <t>TIMELINESS</t>
  </si>
  <si>
    <t>HIGH</t>
  </si>
  <si>
    <t>Last Friday of every Month</t>
  </si>
  <si>
    <t>Hometrack_UK_Monthly_20XXYY_format1</t>
  </si>
  <si>
    <t>Hometrack_UK_Monthly_20XXYY_for</t>
  </si>
  <si>
    <t xml:space="preserve">Count the number of records where RegionIDDesc not in valid list of values </t>
  </si>
  <si>
    <t>Count the number of records where Period not in ('M01',...,'M12')</t>
  </si>
  <si>
    <t>The number of records where Period not in ('M01',...,'M12')</t>
  </si>
  <si>
    <t>Verify the file lands in Santander on agreed WDs on a Monthly basis</t>
  </si>
  <si>
    <t>Last Friday of every Quarter</t>
  </si>
  <si>
    <t>Hometrack_EPR_Quarterly_20XXQY_format1</t>
  </si>
  <si>
    <t>Hometrack_EPR_Quarterly_20XXQY_</t>
  </si>
  <si>
    <t>Count the number of records where Year not in ('2025 Q1',...,'2025 Q4')</t>
  </si>
  <si>
    <t>The number of records where Year not in ('2025 Q1',...,'2025 Q4')</t>
  </si>
  <si>
    <t>Count the numer of records where Price is null or blank</t>
  </si>
  <si>
    <t>The numer of records where Price is null or blank</t>
  </si>
  <si>
    <t>Price (UK Column)</t>
  </si>
  <si>
    <t>Verify the file lands in Santander on agreed WDs on a Quarterly basis</t>
  </si>
  <si>
    <t>Hometrack_EPR_Quarterly_20XXQY_format2</t>
  </si>
  <si>
    <t>Hometrack_EPR_Quarterly_20XXQY_format3</t>
  </si>
  <si>
    <t>Count the number of records where Period not in ('Q01','Q02','Q03','Q04')</t>
  </si>
  <si>
    <t>The number of records where Period not in ('Q01','Q02','Q03','Q04')</t>
  </si>
  <si>
    <t>Validate the number of records where RegionIDDesc is null or blank</t>
  </si>
  <si>
    <t>Number of records where RegionIDDesc is null or blank &gt;= 1</t>
  </si>
  <si>
    <t>If OE_AUDITABLE &gt;1, send notification to David House (David.House2@santander.co.uk)</t>
  </si>
  <si>
    <t>Count the number of records where RegionIDDesc not in valid list of values ('East Anglia','East Midlands','Greater London','North West','North','Nthn Ireland','Scotland','South East','South West','Wales','West Midlands','Yorkshire &amp; Humberside','Total')</t>
  </si>
  <si>
    <t>Validate the number of records where RegionIDDesc not in valid list of values ('East Anglia','East Midlands','Greater London','North West','North','Nthn Ireland','Scotland','South East','South West','Wales','West Midlands','Yorkshire &amp; Humberside','Total')</t>
  </si>
  <si>
    <t>Number of records where RegionIDDesc not in valid list of values ('East Anglia','East Midlands','Greater London','North West','North','Nthn Ireland','Scotland','South East','South West','Wales','West Midlands','Yorkshire &amp; Humberside','Total') &gt;= 1</t>
  </si>
  <si>
    <t>Count number of records not in (1950,...,2060)</t>
  </si>
  <si>
    <t>Validate number of records not in (1950,...,2060)</t>
  </si>
  <si>
    <t>Number of records not in (1950,...,2060) &gt;= 1</t>
  </si>
  <si>
    <t>Count the number of records not integer</t>
  </si>
  <si>
    <t>Validate the number of records not integer</t>
  </si>
  <si>
    <t>Number or records not integer &gt;= 1</t>
  </si>
  <si>
    <t>Count number of records not in (Q01, Q02, Q03 or Q04)</t>
  </si>
  <si>
    <t>Validate number of records not in (Q01, Q02, Q03 or Q04)</t>
  </si>
  <si>
    <t>Number of records not in (Q01, Q02, Q03, Q04) &gt;= 1</t>
  </si>
  <si>
    <t>Validate the numer of records where Standard_Average_Price is null or blank</t>
  </si>
  <si>
    <t>Number of records where Standard_Average_Price is null or blank &gt;= 1</t>
  </si>
  <si>
    <t>Count the numer of records where Standard_Average_Price not between 10.000 and 3.000.000</t>
  </si>
  <si>
    <t>Validate the numer of records where Standard_Average_Price not between 10.000 and 3.000.001</t>
  </si>
  <si>
    <t>Number of records where Standard_Average_Price not between 10.000 and 3.000.000 &gt;= 1</t>
  </si>
  <si>
    <t>Hometrack_UK_Annual_20XX_format1</t>
  </si>
  <si>
    <t>Hometrack_UK_Annual_20XX_format</t>
  </si>
  <si>
    <t>Verify the file lands in Santander on agreed WDs on a Annual basis</t>
  </si>
  <si>
    <t>If OE_AUDITABLE &gt; 1, send notification to David House (David.House2@santander.co.uk)</t>
  </si>
  <si>
    <t>Count number of records not in (A01)</t>
  </si>
  <si>
    <t>Validate number of records not in (A01)</t>
  </si>
  <si>
    <t>Number of records not in (A01) &gt;= 1</t>
  </si>
  <si>
    <t>Validate the numer of records where Standard_Average_Price not between 10.000 and 3.000.000</t>
  </si>
  <si>
    <t>Hometrack_UK_Quarterly_20XXQY_format1</t>
  </si>
  <si>
    <t>Hometrack_UK_Quarterly_20XXQY_f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</si>
</sst>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4" fontId="1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/>
    <xf numFmtId="0" fontId="0" fillId="0" borderId="0" xfId="0" quotePrefix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vertical="center"/>
    </xf>
    <xf numFmtId="9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top"/>
    </xf>
    <xf numFmtId="0" fontId="0" fillId="6" borderId="0" xfId="0" applyFill="1"/>
    <xf numFmtId="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 vertical="top"/>
    </xf>
    <xf numFmtId="14" fontId="0" fillId="6" borderId="0" xfId="0" applyNumberFormat="1" applyFill="1" applyAlignment="1">
      <alignment horizontal="left"/>
    </xf>
    <xf numFmtId="0" fontId="6" fillId="6" borderId="0" xfId="0" applyFont="1" applyFill="1"/>
    <xf numFmtId="0" fontId="0" fillId="6" borderId="0" xfId="0" quotePrefix="1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 vertical="top"/>
    </xf>
    <xf numFmtId="0" fontId="6" fillId="7" borderId="0" xfId="0" applyFont="1" applyFill="1"/>
    <xf numFmtId="0" fontId="0" fillId="7" borderId="0" xfId="0" applyFill="1"/>
    <xf numFmtId="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 vertical="top"/>
    </xf>
    <xf numFmtId="14" fontId="0" fillId="7" borderId="0" xfId="0" applyNumberFormat="1" applyFill="1" applyAlignment="1">
      <alignment horizontal="left"/>
    </xf>
    <xf numFmtId="0" fontId="0" fillId="7" borderId="0" xfId="0" quotePrefix="1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 vertical="top"/>
    </xf>
    <xf numFmtId="0" fontId="6" fillId="8" borderId="0" xfId="0" applyFont="1" applyFill="1"/>
    <xf numFmtId="0" fontId="0" fillId="8" borderId="0" xfId="0" applyFill="1"/>
    <xf numFmtId="9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 vertical="top"/>
    </xf>
    <xf numFmtId="14" fontId="0" fillId="8" borderId="0" xfId="0" applyNumberFormat="1" applyFill="1" applyAlignment="1">
      <alignment horizontal="left"/>
    </xf>
    <xf numFmtId="0" fontId="0" fillId="8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E831-82EA-4919-B9CC-11981283BF48}">
  <sheetPr>
    <tabColor rgb="FFFF0000"/>
  </sheetPr>
  <dimension ref="A1:C36"/>
  <sheetViews>
    <sheetView showGridLines="0" tabSelected="1" zoomScaleNormal="100" workbookViewId="0">
      <pane ySplit="1" topLeftCell="A2" activePane="bottomLeft" state="frozen"/>
      <selection pane="bottomLeft" activeCell="C7" sqref="C7"/>
    </sheetView>
  </sheetViews>
  <sheetFormatPr defaultColWidth="8.7109375" defaultRowHeight="15"/>
  <cols>
    <col min="1" max="1" width="16.7109375" style="8" bestFit="1" customWidth="1"/>
    <col min="2" max="2" width="31.85546875" style="8" customWidth="1"/>
    <col min="3" max="3" width="145.85546875" style="8" bestFit="1" customWidth="1"/>
    <col min="4" max="16384" width="8.7109375" style="8"/>
  </cols>
  <sheetData>
    <row r="1" spans="1:3" ht="29.45" customHeight="1">
      <c r="A1" s="7" t="s">
        <v>0</v>
      </c>
      <c r="B1" s="7" t="s">
        <v>1</v>
      </c>
      <c r="C1" s="7" t="s">
        <v>2</v>
      </c>
    </row>
    <row r="2" spans="1:3" ht="15.75">
      <c r="A2" s="14" t="s">
        <v>3</v>
      </c>
      <c r="B2" s="9" t="s">
        <v>4</v>
      </c>
      <c r="C2" s="10" t="s">
        <v>5</v>
      </c>
    </row>
    <row r="3" spans="1:3" ht="15.75">
      <c r="A3" s="15" t="s">
        <v>6</v>
      </c>
      <c r="B3" s="11" t="s">
        <v>7</v>
      </c>
      <c r="C3" s="12" t="s">
        <v>8</v>
      </c>
    </row>
    <row r="4" spans="1:3" ht="15.75">
      <c r="A4" s="15" t="s">
        <v>6</v>
      </c>
      <c r="B4" s="11" t="s">
        <v>9</v>
      </c>
      <c r="C4" s="12" t="s">
        <v>10</v>
      </c>
    </row>
    <row r="5" spans="1:3" ht="15.75">
      <c r="A5" s="14" t="s">
        <v>3</v>
      </c>
      <c r="B5" s="9" t="s">
        <v>11</v>
      </c>
      <c r="C5" s="12" t="s">
        <v>12</v>
      </c>
    </row>
    <row r="6" spans="1:3" ht="15.75">
      <c r="A6" s="14" t="s">
        <v>3</v>
      </c>
      <c r="B6" s="9" t="s">
        <v>13</v>
      </c>
      <c r="C6" s="12" t="s">
        <v>14</v>
      </c>
    </row>
    <row r="7" spans="1:3" ht="15.75">
      <c r="A7" s="14" t="s">
        <v>3</v>
      </c>
      <c r="B7" s="9" t="s">
        <v>15</v>
      </c>
      <c r="C7" s="12" t="s">
        <v>16</v>
      </c>
    </row>
    <row r="8" spans="1:3" ht="15.75">
      <c r="A8" s="15" t="s">
        <v>6</v>
      </c>
      <c r="B8" s="11" t="s">
        <v>17</v>
      </c>
      <c r="C8" s="12" t="s">
        <v>18</v>
      </c>
    </row>
    <row r="9" spans="1:3" ht="15.75">
      <c r="A9" s="15" t="s">
        <v>6</v>
      </c>
      <c r="B9" s="11" t="s">
        <v>19</v>
      </c>
      <c r="C9" s="12" t="s">
        <v>20</v>
      </c>
    </row>
    <row r="10" spans="1:3" ht="15.75">
      <c r="A10" s="15" t="s">
        <v>6</v>
      </c>
      <c r="B10" s="11" t="s">
        <v>21</v>
      </c>
      <c r="C10" s="12" t="s">
        <v>22</v>
      </c>
    </row>
    <row r="11" spans="1:3" ht="15.75">
      <c r="A11" s="15" t="s">
        <v>6</v>
      </c>
      <c r="B11" s="11" t="s">
        <v>23</v>
      </c>
      <c r="C11" s="12" t="s">
        <v>24</v>
      </c>
    </row>
    <row r="12" spans="1:3" ht="15.75">
      <c r="A12" s="15" t="s">
        <v>6</v>
      </c>
      <c r="B12" s="11" t="s">
        <v>25</v>
      </c>
      <c r="C12" s="12" t="s">
        <v>26</v>
      </c>
    </row>
    <row r="13" spans="1:3" ht="31.5">
      <c r="A13" s="15" t="s">
        <v>6</v>
      </c>
      <c r="B13" s="11" t="s">
        <v>27</v>
      </c>
      <c r="C13" s="10" t="s">
        <v>28</v>
      </c>
    </row>
    <row r="14" spans="1:3" ht="15.75">
      <c r="A14" s="15" t="s">
        <v>6</v>
      </c>
      <c r="B14" s="11" t="s">
        <v>29</v>
      </c>
      <c r="C14" s="12" t="s">
        <v>30</v>
      </c>
    </row>
    <row r="15" spans="1:3" ht="15.75">
      <c r="A15" s="15" t="s">
        <v>6</v>
      </c>
      <c r="B15" s="11" t="s">
        <v>31</v>
      </c>
      <c r="C15" s="12" t="s">
        <v>32</v>
      </c>
    </row>
    <row r="16" spans="1:3" ht="15.75">
      <c r="A16" s="15" t="s">
        <v>6</v>
      </c>
      <c r="B16" s="11" t="s">
        <v>33</v>
      </c>
      <c r="C16" s="12" t="s">
        <v>34</v>
      </c>
    </row>
    <row r="17" spans="1:3" ht="15.75">
      <c r="A17" s="15" t="s">
        <v>6</v>
      </c>
      <c r="B17" s="11" t="s">
        <v>35</v>
      </c>
      <c r="C17" s="12" t="s">
        <v>36</v>
      </c>
    </row>
    <row r="18" spans="1:3" ht="15.75">
      <c r="A18" s="15" t="s">
        <v>6</v>
      </c>
      <c r="B18" s="11" t="s">
        <v>37</v>
      </c>
      <c r="C18" s="12" t="s">
        <v>38</v>
      </c>
    </row>
    <row r="19" spans="1:3" ht="15.75">
      <c r="A19" s="15" t="s">
        <v>6</v>
      </c>
      <c r="B19" s="11" t="s">
        <v>39</v>
      </c>
      <c r="C19" s="12" t="s">
        <v>40</v>
      </c>
    </row>
    <row r="20" spans="1:3" ht="15.75">
      <c r="A20" s="14" t="s">
        <v>3</v>
      </c>
      <c r="B20" s="9" t="s">
        <v>41</v>
      </c>
      <c r="C20" s="12" t="s">
        <v>42</v>
      </c>
    </row>
    <row r="21" spans="1:3" ht="15.75">
      <c r="A21" s="15" t="s">
        <v>6</v>
      </c>
      <c r="B21" s="11" t="s">
        <v>43</v>
      </c>
      <c r="C21" s="12" t="s">
        <v>44</v>
      </c>
    </row>
    <row r="22" spans="1:3" ht="15.75">
      <c r="A22" s="15" t="s">
        <v>6</v>
      </c>
      <c r="B22" s="11" t="s">
        <v>45</v>
      </c>
      <c r="C22" s="12" t="s">
        <v>46</v>
      </c>
    </row>
    <row r="23" spans="1:3" ht="15.75">
      <c r="A23" s="15" t="s">
        <v>6</v>
      </c>
      <c r="B23" s="11" t="s">
        <v>47</v>
      </c>
      <c r="C23" s="12" t="s">
        <v>48</v>
      </c>
    </row>
    <row r="24" spans="1:3" ht="15.75">
      <c r="A24" s="15" t="s">
        <v>6</v>
      </c>
      <c r="B24" s="11" t="s">
        <v>49</v>
      </c>
      <c r="C24" s="12" t="s">
        <v>50</v>
      </c>
    </row>
    <row r="25" spans="1:3" ht="15.75">
      <c r="A25" s="15" t="s">
        <v>6</v>
      </c>
      <c r="B25" s="11" t="s">
        <v>51</v>
      </c>
      <c r="C25" s="12" t="s">
        <v>52</v>
      </c>
    </row>
    <row r="26" spans="1:3" ht="15.75">
      <c r="A26" s="15" t="s">
        <v>6</v>
      </c>
      <c r="B26" s="11" t="s">
        <v>53</v>
      </c>
      <c r="C26" s="12" t="s">
        <v>54</v>
      </c>
    </row>
    <row r="27" spans="1:3" ht="15.75">
      <c r="A27" s="15" t="s">
        <v>6</v>
      </c>
      <c r="B27" s="11" t="s">
        <v>55</v>
      </c>
      <c r="C27" s="12" t="s">
        <v>56</v>
      </c>
    </row>
    <row r="28" spans="1:3" ht="15.75">
      <c r="A28" s="15" t="s">
        <v>6</v>
      </c>
      <c r="B28" s="11" t="s">
        <v>57</v>
      </c>
      <c r="C28" s="12" t="s">
        <v>58</v>
      </c>
    </row>
    <row r="29" spans="1:3" ht="15.75">
      <c r="A29" s="15" t="s">
        <v>6</v>
      </c>
      <c r="B29" s="11" t="s">
        <v>59</v>
      </c>
      <c r="C29" s="12" t="s">
        <v>60</v>
      </c>
    </row>
    <row r="30" spans="1:3" ht="15.75">
      <c r="A30" s="15" t="s">
        <v>6</v>
      </c>
      <c r="B30" s="11" t="s">
        <v>61</v>
      </c>
      <c r="C30" s="12" t="s">
        <v>62</v>
      </c>
    </row>
    <row r="31" spans="1:3" ht="15.75">
      <c r="A31" s="15" t="s">
        <v>6</v>
      </c>
      <c r="B31" s="11" t="s">
        <v>63</v>
      </c>
      <c r="C31" s="12" t="s">
        <v>64</v>
      </c>
    </row>
    <row r="32" spans="1:3" ht="15.75">
      <c r="A32" s="15" t="s">
        <v>6</v>
      </c>
      <c r="B32" s="11" t="s">
        <v>65</v>
      </c>
      <c r="C32" s="12" t="s">
        <v>66</v>
      </c>
    </row>
    <row r="33" spans="1:3" ht="15.75">
      <c r="A33" s="14" t="s">
        <v>3</v>
      </c>
      <c r="B33" s="9" t="s">
        <v>67</v>
      </c>
      <c r="C33" s="12" t="s">
        <v>68</v>
      </c>
    </row>
    <row r="34" spans="1:3" ht="15.75">
      <c r="A34" s="14" t="s">
        <v>3</v>
      </c>
      <c r="B34" s="13" t="s">
        <v>69</v>
      </c>
      <c r="C34" s="12" t="s">
        <v>70</v>
      </c>
    </row>
    <row r="35" spans="1:3" ht="15.75">
      <c r="A35" s="14" t="s">
        <v>3</v>
      </c>
      <c r="B35" s="13" t="s">
        <v>71</v>
      </c>
      <c r="C35" s="12" t="s">
        <v>72</v>
      </c>
    </row>
    <row r="36" spans="1:3" ht="15.75">
      <c r="A36" s="14" t="s">
        <v>3</v>
      </c>
      <c r="B36" s="9" t="s">
        <v>73</v>
      </c>
      <c r="C36" s="12" t="s">
        <v>74</v>
      </c>
    </row>
  </sheetData>
  <sheetProtection algorithmName="SHA-512" hashValue="u6SctkPNGwLV5PuJU9cU/xvawDOaYYQDQP1TGlZMiD9uspNyWffkBg4d5j8V7Oj9JW4uYJQx5z9MLCvRnLrDyw==" saltValue="yHbrDTsFX5xNO5WJ/jpaxw==" spinCount="100000" sheet="1" objects="1" scenarios="1"/>
  <autoFilter ref="A1:C36" xr:uid="{BF2A681F-C8B5-4BDA-B874-1E3974D0D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02D6-E65F-409E-A766-07E0455C95BB}">
  <dimension ref="A1:AI75"/>
  <sheetViews>
    <sheetView showGridLines="0" zoomScale="145" zoomScaleNormal="145" workbookViewId="0">
      <pane ySplit="1" topLeftCell="K26" activePane="bottomLeft" state="frozen"/>
      <selection pane="bottomLeft" activeCell="M49" sqref="M49:M55"/>
      <selection activeCell="C7" sqref="C7"/>
    </sheetView>
  </sheetViews>
  <sheetFormatPr defaultColWidth="8.7109375" defaultRowHeight="15"/>
  <cols>
    <col min="1" max="1" width="19.42578125" style="2" bestFit="1" customWidth="1"/>
    <col min="2" max="2" width="41.28515625" style="2" bestFit="1" customWidth="1"/>
    <col min="3" max="3" width="16.7109375" style="2" bestFit="1" customWidth="1"/>
    <col min="4" max="4" width="19.140625" style="2" bestFit="1" customWidth="1"/>
    <col min="5" max="5" width="11.7109375" style="2" bestFit="1" customWidth="1"/>
    <col min="6" max="6" width="15.5703125" style="2" bestFit="1" customWidth="1"/>
    <col min="7" max="7" width="47.42578125" style="25" customWidth="1"/>
    <col min="8" max="8" width="54.85546875" customWidth="1"/>
    <col min="9" max="9" width="95.28515625" style="2" customWidth="1"/>
    <col min="10" max="10" width="69.7109375" style="2" customWidth="1"/>
    <col min="11" max="11" width="75.42578125" customWidth="1"/>
    <col min="12" max="12" width="65.28515625" style="2" customWidth="1"/>
    <col min="13" max="13" width="156.7109375" customWidth="1"/>
    <col min="14" max="14" width="22.7109375" style="2" customWidth="1"/>
    <col min="15" max="15" width="17.42578125" style="2" bestFit="1" customWidth="1"/>
    <col min="16" max="16" width="25.28515625" style="2" customWidth="1"/>
    <col min="17" max="17" width="21.140625" style="2" customWidth="1"/>
    <col min="18" max="18" width="18" style="2" bestFit="1" customWidth="1"/>
    <col min="19" max="19" width="21.28515625" style="2" bestFit="1" customWidth="1"/>
    <col min="20" max="20" width="23.42578125" style="19" customWidth="1"/>
    <col min="21" max="21" width="40" style="28" bestFit="1" customWidth="1"/>
    <col min="22" max="22" width="23.42578125" style="19" customWidth="1"/>
    <col min="23" max="23" width="41.140625" style="2" customWidth="1"/>
    <col min="24" max="24" width="26.140625" style="2" customWidth="1"/>
    <col min="25" max="25" width="28.85546875" style="19" bestFit="1" customWidth="1"/>
    <col min="26" max="26" width="24.5703125" style="2" bestFit="1" customWidth="1"/>
    <col min="27" max="27" width="27.5703125" style="2" bestFit="1" customWidth="1"/>
    <col min="28" max="28" width="24.85546875" style="19" bestFit="1" customWidth="1"/>
    <col min="29" max="29" width="22.140625" style="2" bestFit="1" customWidth="1"/>
    <col min="30" max="30" width="13.85546875" style="19" bestFit="1" customWidth="1"/>
    <col min="31" max="31" width="12.5703125" style="19" customWidth="1"/>
    <col min="32" max="32" width="22.42578125" style="2" bestFit="1" customWidth="1"/>
    <col min="33" max="33" width="16.42578125" style="3" bestFit="1" customWidth="1"/>
    <col min="34" max="34" width="25.7109375" style="3" bestFit="1" customWidth="1"/>
    <col min="35" max="35" width="17.7109375" style="2" bestFit="1" customWidth="1"/>
    <col min="36" max="16384" width="8.7109375" style="2"/>
  </cols>
  <sheetData>
    <row r="1" spans="1:35" s="1" customFormat="1" ht="18.600000000000001" customHeight="1">
      <c r="A1" s="4" t="s">
        <v>4</v>
      </c>
      <c r="B1" s="5" t="s">
        <v>7</v>
      </c>
      <c r="C1" s="5" t="s">
        <v>9</v>
      </c>
      <c r="D1" s="4" t="s">
        <v>11</v>
      </c>
      <c r="E1" s="4" t="s">
        <v>13</v>
      </c>
      <c r="F1" s="4" t="s">
        <v>15</v>
      </c>
      <c r="G1" s="24" t="s">
        <v>17</v>
      </c>
      <c r="H1" s="20" t="s">
        <v>19</v>
      </c>
      <c r="I1" s="5" t="s">
        <v>21</v>
      </c>
      <c r="J1" s="5" t="s">
        <v>23</v>
      </c>
      <c r="K1" s="20" t="s">
        <v>25</v>
      </c>
      <c r="L1" s="5" t="s">
        <v>27</v>
      </c>
      <c r="M1" s="20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4" t="s">
        <v>41</v>
      </c>
      <c r="T1" s="18" t="s">
        <v>43</v>
      </c>
      <c r="U1" s="26" t="s">
        <v>45</v>
      </c>
      <c r="V1" s="18" t="s">
        <v>47</v>
      </c>
      <c r="W1" s="5" t="s">
        <v>49</v>
      </c>
      <c r="X1" s="5" t="s">
        <v>51</v>
      </c>
      <c r="Y1" s="18" t="s">
        <v>53</v>
      </c>
      <c r="Z1" s="5" t="s">
        <v>55</v>
      </c>
      <c r="AA1" s="5" t="s">
        <v>57</v>
      </c>
      <c r="AB1" s="18" t="s">
        <v>59</v>
      </c>
      <c r="AC1" s="5" t="s">
        <v>61</v>
      </c>
      <c r="AD1" s="18" t="s">
        <v>63</v>
      </c>
      <c r="AE1" s="18" t="s">
        <v>65</v>
      </c>
      <c r="AF1" s="4" t="s">
        <v>67</v>
      </c>
      <c r="AG1" s="6" t="s">
        <v>69</v>
      </c>
      <c r="AH1" s="6" t="s">
        <v>75</v>
      </c>
      <c r="AI1" s="4" t="s">
        <v>76</v>
      </c>
    </row>
    <row r="2" spans="1:35">
      <c r="A2" s="30"/>
      <c r="B2" s="31" t="s">
        <v>77</v>
      </c>
      <c r="C2" s="31" t="s">
        <v>77</v>
      </c>
      <c r="D2" s="30"/>
      <c r="E2" s="31" t="s">
        <v>78</v>
      </c>
      <c r="F2" s="31" t="s">
        <v>79</v>
      </c>
      <c r="G2" s="32" t="s">
        <v>80</v>
      </c>
      <c r="H2" s="32" t="s">
        <v>81</v>
      </c>
      <c r="I2" s="30" t="str">
        <f>+_xlfn.CONCAT(K2," on ",X2," - ",N2)</f>
        <v>Validate the data ingested does not have null or blank records  on RegionIDDesc - Last Friday of every Year</v>
      </c>
      <c r="J2" s="30" t="s">
        <v>82</v>
      </c>
      <c r="K2" s="33" t="s">
        <v>83</v>
      </c>
      <c r="L2" s="30" t="s">
        <v>84</v>
      </c>
      <c r="M2" s="33" t="s">
        <v>85</v>
      </c>
      <c r="N2" s="31" t="s">
        <v>86</v>
      </c>
      <c r="O2" s="34">
        <v>0.99</v>
      </c>
      <c r="P2" s="31" t="s">
        <v>87</v>
      </c>
      <c r="Q2" s="31" t="s">
        <v>88</v>
      </c>
      <c r="R2" s="31" t="s">
        <v>89</v>
      </c>
      <c r="S2" s="30"/>
      <c r="T2" s="31" t="s">
        <v>90</v>
      </c>
      <c r="U2" s="35" t="s">
        <v>91</v>
      </c>
      <c r="V2" s="31" t="s">
        <v>77</v>
      </c>
      <c r="W2" s="30" t="s">
        <v>92</v>
      </c>
      <c r="X2" s="30" t="s">
        <v>93</v>
      </c>
      <c r="Y2" s="31" t="s">
        <v>94</v>
      </c>
      <c r="Z2" s="30"/>
      <c r="AA2" s="30"/>
      <c r="AB2" s="31"/>
      <c r="AC2" s="30"/>
      <c r="AD2" s="31" t="s">
        <v>95</v>
      </c>
      <c r="AE2" s="31" t="s">
        <v>96</v>
      </c>
      <c r="AF2" s="30"/>
      <c r="AG2" s="36"/>
      <c r="AH2" s="36"/>
      <c r="AI2" s="30"/>
    </row>
    <row r="3" spans="1:35">
      <c r="A3" s="30"/>
      <c r="B3" s="31" t="s">
        <v>77</v>
      </c>
      <c r="C3" s="31" t="s">
        <v>77</v>
      </c>
      <c r="D3" s="30"/>
      <c r="E3" s="31" t="s">
        <v>78</v>
      </c>
      <c r="F3" s="31" t="s">
        <v>79</v>
      </c>
      <c r="G3" s="32" t="s">
        <v>80</v>
      </c>
      <c r="H3" s="32" t="s">
        <v>81</v>
      </c>
      <c r="I3" s="30" t="str">
        <f t="shared" ref="I3:I63" si="0">+_xlfn.CONCAT(K3," on ",X3," - ",N3)</f>
        <v>Validate the records are within the accepted list of values on RegionIDDesc - Last Friday of every Year</v>
      </c>
      <c r="J3" s="37" t="s">
        <v>97</v>
      </c>
      <c r="K3" s="33" t="s">
        <v>98</v>
      </c>
      <c r="L3" s="30" t="s">
        <v>99</v>
      </c>
      <c r="M3" s="33" t="s">
        <v>100</v>
      </c>
      <c r="N3" s="31" t="s">
        <v>86</v>
      </c>
      <c r="O3" s="34">
        <v>0.99</v>
      </c>
      <c r="P3" s="31" t="s">
        <v>87</v>
      </c>
      <c r="Q3" s="31" t="s">
        <v>88</v>
      </c>
      <c r="R3" s="31" t="s">
        <v>89</v>
      </c>
      <c r="S3" s="30"/>
      <c r="T3" s="31" t="s">
        <v>90</v>
      </c>
      <c r="U3" s="35" t="s">
        <v>91</v>
      </c>
      <c r="V3" s="31" t="s">
        <v>77</v>
      </c>
      <c r="W3" s="30" t="s">
        <v>92</v>
      </c>
      <c r="X3" s="37" t="s">
        <v>93</v>
      </c>
      <c r="Y3" s="31" t="s">
        <v>94</v>
      </c>
      <c r="Z3" s="30"/>
      <c r="AA3" s="30"/>
      <c r="AB3" s="31"/>
      <c r="AC3" s="30"/>
      <c r="AD3" s="31" t="s">
        <v>95</v>
      </c>
      <c r="AE3" s="31" t="s">
        <v>96</v>
      </c>
      <c r="AF3" s="30"/>
      <c r="AG3" s="36"/>
      <c r="AH3" s="36"/>
      <c r="AI3" s="30"/>
    </row>
    <row r="4" spans="1:35">
      <c r="A4" s="30"/>
      <c r="B4" s="31" t="s">
        <v>77</v>
      </c>
      <c r="C4" s="31" t="s">
        <v>77</v>
      </c>
      <c r="D4" s="30"/>
      <c r="E4" s="31" t="s">
        <v>78</v>
      </c>
      <c r="F4" s="31" t="s">
        <v>79</v>
      </c>
      <c r="G4" s="32" t="s">
        <v>80</v>
      </c>
      <c r="H4" s="32" t="s">
        <v>81</v>
      </c>
      <c r="I4" s="30" t="str">
        <f t="shared" si="0"/>
        <v>Validate the data ingested does not have null or blank records  on Year - Last Friday of every Year</v>
      </c>
      <c r="J4" s="37" t="s">
        <v>101</v>
      </c>
      <c r="K4" s="33" t="s">
        <v>83</v>
      </c>
      <c r="L4" s="37" t="s">
        <v>102</v>
      </c>
      <c r="M4" s="33" t="s">
        <v>85</v>
      </c>
      <c r="N4" s="31" t="s">
        <v>86</v>
      </c>
      <c r="O4" s="34">
        <v>0.99</v>
      </c>
      <c r="P4" s="31" t="s">
        <v>87</v>
      </c>
      <c r="Q4" s="31" t="s">
        <v>88</v>
      </c>
      <c r="R4" s="31" t="s">
        <v>89</v>
      </c>
      <c r="S4" s="30"/>
      <c r="T4" s="31" t="s">
        <v>90</v>
      </c>
      <c r="U4" s="35" t="s">
        <v>91</v>
      </c>
      <c r="V4" s="31" t="s">
        <v>77</v>
      </c>
      <c r="W4" s="30" t="s">
        <v>92</v>
      </c>
      <c r="X4" s="37" t="s">
        <v>103</v>
      </c>
      <c r="Y4" s="31" t="s">
        <v>94</v>
      </c>
      <c r="Z4" s="30"/>
      <c r="AA4" s="30"/>
      <c r="AB4" s="31"/>
      <c r="AC4" s="30"/>
      <c r="AD4" s="31" t="s">
        <v>95</v>
      </c>
      <c r="AE4" s="31" t="s">
        <v>96</v>
      </c>
      <c r="AF4" s="30"/>
      <c r="AG4" s="36"/>
      <c r="AH4" s="36"/>
      <c r="AI4" s="30"/>
    </row>
    <row r="5" spans="1:35">
      <c r="A5" s="30"/>
      <c r="B5" s="31" t="s">
        <v>77</v>
      </c>
      <c r="C5" s="31" t="s">
        <v>77</v>
      </c>
      <c r="D5" s="30"/>
      <c r="E5" s="31" t="s">
        <v>78</v>
      </c>
      <c r="F5" s="31" t="s">
        <v>79</v>
      </c>
      <c r="G5" s="32" t="s">
        <v>80</v>
      </c>
      <c r="H5" s="32" t="s">
        <v>81</v>
      </c>
      <c r="I5" s="30" t="str">
        <f t="shared" si="0"/>
        <v>Validate the data ingested does not have null or blank records  on Period - Last Friday of every Year</v>
      </c>
      <c r="J5" s="37" t="s">
        <v>104</v>
      </c>
      <c r="K5" s="33" t="s">
        <v>83</v>
      </c>
      <c r="L5" s="37" t="s">
        <v>105</v>
      </c>
      <c r="M5" s="33" t="s">
        <v>85</v>
      </c>
      <c r="N5" s="31" t="s">
        <v>86</v>
      </c>
      <c r="O5" s="34">
        <v>0.99</v>
      </c>
      <c r="P5" s="31" t="s">
        <v>87</v>
      </c>
      <c r="Q5" s="31" t="s">
        <v>88</v>
      </c>
      <c r="R5" s="31" t="s">
        <v>89</v>
      </c>
      <c r="S5" s="30"/>
      <c r="T5" s="31" t="s">
        <v>90</v>
      </c>
      <c r="U5" s="35" t="s">
        <v>91</v>
      </c>
      <c r="V5" s="31" t="s">
        <v>77</v>
      </c>
      <c r="W5" s="30" t="s">
        <v>92</v>
      </c>
      <c r="X5" s="37" t="s">
        <v>106</v>
      </c>
      <c r="Y5" s="31" t="s">
        <v>94</v>
      </c>
      <c r="Z5" s="30"/>
      <c r="AA5" s="30"/>
      <c r="AB5" s="31"/>
      <c r="AC5" s="30"/>
      <c r="AD5" s="31" t="s">
        <v>95</v>
      </c>
      <c r="AE5" s="31" t="s">
        <v>96</v>
      </c>
      <c r="AF5" s="30"/>
      <c r="AG5" s="36"/>
      <c r="AH5" s="36"/>
      <c r="AI5" s="30"/>
    </row>
    <row r="6" spans="1:35">
      <c r="A6" s="30"/>
      <c r="B6" s="31" t="s">
        <v>77</v>
      </c>
      <c r="C6" s="31" t="s">
        <v>77</v>
      </c>
      <c r="D6" s="30"/>
      <c r="E6" s="31" t="s">
        <v>78</v>
      </c>
      <c r="F6" s="31" t="s">
        <v>79</v>
      </c>
      <c r="G6" s="32" t="s">
        <v>80</v>
      </c>
      <c r="H6" s="32" t="s">
        <v>81</v>
      </c>
      <c r="I6" s="30" t="str">
        <f t="shared" si="0"/>
        <v>Validate the records are within the accepted list of values on Period - Last Friday of every Year</v>
      </c>
      <c r="J6" s="37" t="s">
        <v>107</v>
      </c>
      <c r="K6" s="33" t="s">
        <v>98</v>
      </c>
      <c r="L6" s="37" t="s">
        <v>108</v>
      </c>
      <c r="M6" s="33" t="s">
        <v>100</v>
      </c>
      <c r="N6" s="31" t="s">
        <v>86</v>
      </c>
      <c r="O6" s="34">
        <v>0.99</v>
      </c>
      <c r="P6" s="31" t="s">
        <v>87</v>
      </c>
      <c r="Q6" s="31" t="s">
        <v>88</v>
      </c>
      <c r="R6" s="31" t="s">
        <v>89</v>
      </c>
      <c r="S6" s="30"/>
      <c r="T6" s="31" t="s">
        <v>90</v>
      </c>
      <c r="U6" s="35" t="s">
        <v>91</v>
      </c>
      <c r="V6" s="31" t="s">
        <v>77</v>
      </c>
      <c r="W6" s="30" t="s">
        <v>92</v>
      </c>
      <c r="X6" s="37" t="s">
        <v>106</v>
      </c>
      <c r="Y6" s="31" t="s">
        <v>94</v>
      </c>
      <c r="Z6" s="30"/>
      <c r="AA6" s="30"/>
      <c r="AB6" s="31"/>
      <c r="AC6" s="30"/>
      <c r="AD6" s="31" t="s">
        <v>95</v>
      </c>
      <c r="AE6" s="31" t="s">
        <v>96</v>
      </c>
      <c r="AF6" s="30"/>
      <c r="AG6" s="36"/>
      <c r="AH6" s="36"/>
      <c r="AI6" s="30"/>
    </row>
    <row r="7" spans="1:35">
      <c r="A7" s="30"/>
      <c r="B7" s="31" t="s">
        <v>77</v>
      </c>
      <c r="C7" s="31" t="s">
        <v>77</v>
      </c>
      <c r="D7" s="30"/>
      <c r="E7" s="31" t="s">
        <v>78</v>
      </c>
      <c r="F7" s="31" t="s">
        <v>79</v>
      </c>
      <c r="G7" s="32" t="s">
        <v>80</v>
      </c>
      <c r="H7" s="32" t="s">
        <v>81</v>
      </c>
      <c r="I7" s="30" t="str">
        <f t="shared" si="0"/>
        <v>Validate the data ingested do not have null or blank records  on Standard_Average_Price - Last Friday of every Year</v>
      </c>
      <c r="J7" s="37" t="s">
        <v>109</v>
      </c>
      <c r="K7" s="33" t="s">
        <v>110</v>
      </c>
      <c r="L7" s="37" t="s">
        <v>111</v>
      </c>
      <c r="M7" s="33" t="s">
        <v>85</v>
      </c>
      <c r="N7" s="31" t="s">
        <v>86</v>
      </c>
      <c r="O7" s="34">
        <v>0.99</v>
      </c>
      <c r="P7" s="31" t="s">
        <v>87</v>
      </c>
      <c r="Q7" s="31" t="s">
        <v>88</v>
      </c>
      <c r="R7" s="31" t="s">
        <v>89</v>
      </c>
      <c r="S7" s="30"/>
      <c r="T7" s="31" t="s">
        <v>90</v>
      </c>
      <c r="U7" s="35" t="s">
        <v>91</v>
      </c>
      <c r="V7" s="31" t="s">
        <v>77</v>
      </c>
      <c r="W7" s="30" t="s">
        <v>92</v>
      </c>
      <c r="X7" s="37" t="s">
        <v>112</v>
      </c>
      <c r="Y7" s="31" t="s">
        <v>94</v>
      </c>
      <c r="Z7" s="30"/>
      <c r="AA7" s="30"/>
      <c r="AB7" s="31"/>
      <c r="AC7" s="30"/>
      <c r="AD7" s="31" t="s">
        <v>95</v>
      </c>
      <c r="AE7" s="31" t="s">
        <v>96</v>
      </c>
      <c r="AF7" s="30"/>
      <c r="AG7" s="36"/>
      <c r="AH7" s="36"/>
      <c r="AI7" s="30"/>
    </row>
    <row r="8" spans="1:35">
      <c r="A8" s="30"/>
      <c r="B8" s="31" t="s">
        <v>77</v>
      </c>
      <c r="C8" s="31" t="s">
        <v>77</v>
      </c>
      <c r="D8" s="30"/>
      <c r="E8" s="31" t="s">
        <v>78</v>
      </c>
      <c r="F8" s="31" t="s">
        <v>79</v>
      </c>
      <c r="G8" s="32" t="s">
        <v>80</v>
      </c>
      <c r="H8" s="32" t="s">
        <v>81</v>
      </c>
      <c r="I8" s="30" t="str">
        <f t="shared" si="0"/>
        <v>Validate the data is within the acceptable range of values on Standard_Average_Price - Last Friday of every Year</v>
      </c>
      <c r="J8" s="37" t="s">
        <v>113</v>
      </c>
      <c r="K8" s="33" t="s">
        <v>114</v>
      </c>
      <c r="L8" s="37" t="s">
        <v>115</v>
      </c>
      <c r="M8" s="33" t="s">
        <v>116</v>
      </c>
      <c r="N8" s="31" t="s">
        <v>86</v>
      </c>
      <c r="O8" s="34">
        <v>0.99</v>
      </c>
      <c r="P8" s="31" t="s">
        <v>87</v>
      </c>
      <c r="Q8" s="31" t="s">
        <v>88</v>
      </c>
      <c r="R8" s="31" t="s">
        <v>89</v>
      </c>
      <c r="S8" s="30"/>
      <c r="T8" s="31" t="s">
        <v>90</v>
      </c>
      <c r="U8" s="35" t="s">
        <v>91</v>
      </c>
      <c r="V8" s="31" t="s">
        <v>77</v>
      </c>
      <c r="W8" s="30" t="s">
        <v>92</v>
      </c>
      <c r="X8" s="37" t="s">
        <v>112</v>
      </c>
      <c r="Y8" s="31" t="s">
        <v>94</v>
      </c>
      <c r="Z8" s="30"/>
      <c r="AA8" s="30"/>
      <c r="AB8" s="31"/>
      <c r="AC8" s="30"/>
      <c r="AD8" s="31" t="s">
        <v>95</v>
      </c>
      <c r="AE8" s="31" t="s">
        <v>96</v>
      </c>
      <c r="AF8" s="30"/>
      <c r="AG8" s="36"/>
      <c r="AH8" s="36"/>
      <c r="AI8" s="30"/>
    </row>
    <row r="9" spans="1:35">
      <c r="A9" s="30"/>
      <c r="B9" s="31" t="s">
        <v>77</v>
      </c>
      <c r="C9" s="31" t="s">
        <v>77</v>
      </c>
      <c r="D9" s="30"/>
      <c r="E9" s="31" t="s">
        <v>78</v>
      </c>
      <c r="F9" s="31" t="s">
        <v>79</v>
      </c>
      <c r="G9" s="32" t="s">
        <v>80</v>
      </c>
      <c r="H9" s="32" t="s">
        <v>81</v>
      </c>
      <c r="I9" s="30" t="str">
        <f t="shared" si="0"/>
        <v>Validate the data has been received on the correct day and is available for ingestion on FILE LEVEL - Last Friday of every Year</v>
      </c>
      <c r="J9" s="30" t="s">
        <v>117</v>
      </c>
      <c r="K9" s="33" t="s">
        <v>118</v>
      </c>
      <c r="L9" s="30" t="s">
        <v>119</v>
      </c>
      <c r="M9" s="33" t="s">
        <v>120</v>
      </c>
      <c r="N9" s="31" t="s">
        <v>86</v>
      </c>
      <c r="O9" s="34">
        <v>0.99</v>
      </c>
      <c r="P9" s="31" t="s">
        <v>87</v>
      </c>
      <c r="Q9" s="31" t="s">
        <v>88</v>
      </c>
      <c r="R9" s="31" t="s">
        <v>121</v>
      </c>
      <c r="S9" s="30"/>
      <c r="T9" s="31" t="s">
        <v>90</v>
      </c>
      <c r="U9" s="35" t="s">
        <v>91</v>
      </c>
      <c r="V9" s="31" t="s">
        <v>77</v>
      </c>
      <c r="W9" s="30" t="s">
        <v>92</v>
      </c>
      <c r="X9" s="38" t="s">
        <v>122</v>
      </c>
      <c r="Y9" s="31"/>
      <c r="Z9" s="30"/>
      <c r="AA9" s="30"/>
      <c r="AB9" s="31" t="s">
        <v>123</v>
      </c>
      <c r="AC9" s="30"/>
      <c r="AD9" s="31" t="s">
        <v>124</v>
      </c>
      <c r="AE9" s="31" t="s">
        <v>96</v>
      </c>
      <c r="AF9" s="30"/>
      <c r="AG9" s="36"/>
      <c r="AH9" s="36"/>
      <c r="AI9" s="30"/>
    </row>
    <row r="10" spans="1:35">
      <c r="B10" s="19" t="s">
        <v>77</v>
      </c>
      <c r="C10" s="19" t="s">
        <v>77</v>
      </c>
      <c r="E10" s="19" t="s">
        <v>78</v>
      </c>
      <c r="F10" s="19" t="s">
        <v>79</v>
      </c>
      <c r="G10" s="25" t="s">
        <v>80</v>
      </c>
      <c r="H10" s="29" t="s">
        <v>81</v>
      </c>
      <c r="I10" s="2" t="str">
        <f t="shared" si="0"/>
        <v>Validate the data ingested do not have null or blank records  on RegionIDDesc - Last Friday of every Month</v>
      </c>
      <c r="J10" s="16" t="s">
        <v>82</v>
      </c>
      <c r="K10" t="s">
        <v>110</v>
      </c>
      <c r="L10" s="2" t="s">
        <v>84</v>
      </c>
      <c r="M10" t="s">
        <v>85</v>
      </c>
      <c r="N10" s="19" t="s">
        <v>125</v>
      </c>
      <c r="O10" s="21">
        <v>0.99</v>
      </c>
      <c r="P10" s="19" t="s">
        <v>87</v>
      </c>
      <c r="Q10" s="19" t="s">
        <v>88</v>
      </c>
      <c r="R10" s="19" t="s">
        <v>89</v>
      </c>
      <c r="T10" s="23" t="s">
        <v>90</v>
      </c>
      <c r="U10" s="27" t="s">
        <v>126</v>
      </c>
      <c r="V10" s="23" t="s">
        <v>77</v>
      </c>
      <c r="W10" t="s">
        <v>127</v>
      </c>
      <c r="X10" s="16" t="s">
        <v>93</v>
      </c>
      <c r="Y10" s="23" t="s">
        <v>94</v>
      </c>
      <c r="Z10" s="22"/>
      <c r="AA10" s="22"/>
      <c r="AB10" s="23"/>
      <c r="AC10" s="22"/>
      <c r="AD10" s="19" t="s">
        <v>95</v>
      </c>
      <c r="AE10" s="19" t="s">
        <v>96</v>
      </c>
    </row>
    <row r="11" spans="1:35">
      <c r="B11" s="19" t="s">
        <v>77</v>
      </c>
      <c r="C11" s="19" t="s">
        <v>77</v>
      </c>
      <c r="E11" s="19" t="s">
        <v>78</v>
      </c>
      <c r="F11" s="19" t="s">
        <v>79</v>
      </c>
      <c r="G11" s="25" t="s">
        <v>80</v>
      </c>
      <c r="H11" s="29" t="s">
        <v>81</v>
      </c>
      <c r="I11" s="2" t="str">
        <f t="shared" si="0"/>
        <v>Validate the records are within the accepted list of values on RegionIDDesc - Last Friday of every Month</v>
      </c>
      <c r="J11" s="16" t="s">
        <v>128</v>
      </c>
      <c r="K11" t="s">
        <v>98</v>
      </c>
      <c r="L11" s="2" t="s">
        <v>99</v>
      </c>
      <c r="M11" t="s">
        <v>100</v>
      </c>
      <c r="N11" s="19" t="s">
        <v>125</v>
      </c>
      <c r="O11" s="21">
        <v>0.99</v>
      </c>
      <c r="P11" s="19" t="s">
        <v>87</v>
      </c>
      <c r="Q11" s="19" t="s">
        <v>88</v>
      </c>
      <c r="R11" s="19" t="s">
        <v>89</v>
      </c>
      <c r="T11" s="23" t="s">
        <v>90</v>
      </c>
      <c r="U11" s="27" t="s">
        <v>126</v>
      </c>
      <c r="V11" s="23" t="s">
        <v>77</v>
      </c>
      <c r="W11" t="s">
        <v>127</v>
      </c>
      <c r="X11" s="16" t="s">
        <v>93</v>
      </c>
      <c r="Y11" s="23" t="s">
        <v>94</v>
      </c>
      <c r="Z11" s="22"/>
      <c r="AA11" s="22"/>
      <c r="AB11" s="23"/>
      <c r="AC11" s="22"/>
      <c r="AD11" s="19" t="s">
        <v>95</v>
      </c>
      <c r="AE11" s="19" t="s">
        <v>96</v>
      </c>
    </row>
    <row r="12" spans="1:35">
      <c r="B12" s="19" t="s">
        <v>77</v>
      </c>
      <c r="C12" s="19" t="s">
        <v>77</v>
      </c>
      <c r="E12" s="19" t="s">
        <v>78</v>
      </c>
      <c r="F12" s="19" t="s">
        <v>79</v>
      </c>
      <c r="G12" s="25" t="s">
        <v>80</v>
      </c>
      <c r="H12" s="29" t="s">
        <v>81</v>
      </c>
      <c r="I12" s="2" t="str">
        <f t="shared" si="0"/>
        <v>Validate the data ingested do not have null or blank records  on Year - Last Friday of every Month</v>
      </c>
      <c r="J12" s="16" t="s">
        <v>101</v>
      </c>
      <c r="K12" t="s">
        <v>110</v>
      </c>
      <c r="L12" s="16" t="s">
        <v>102</v>
      </c>
      <c r="M12" t="s">
        <v>85</v>
      </c>
      <c r="N12" s="19" t="s">
        <v>125</v>
      </c>
      <c r="O12" s="21">
        <v>0.99</v>
      </c>
      <c r="P12" s="19" t="s">
        <v>87</v>
      </c>
      <c r="Q12" s="19" t="s">
        <v>88</v>
      </c>
      <c r="R12" s="19" t="s">
        <v>89</v>
      </c>
      <c r="T12" s="23" t="s">
        <v>90</v>
      </c>
      <c r="U12" s="27" t="s">
        <v>126</v>
      </c>
      <c r="V12" s="23" t="s">
        <v>77</v>
      </c>
      <c r="W12" t="s">
        <v>127</v>
      </c>
      <c r="X12" s="16" t="s">
        <v>103</v>
      </c>
      <c r="Y12" s="23" t="s">
        <v>94</v>
      </c>
      <c r="Z12" s="22"/>
      <c r="AA12" s="22"/>
      <c r="AB12" s="23"/>
      <c r="AC12" s="22"/>
      <c r="AD12" s="19" t="s">
        <v>95</v>
      </c>
      <c r="AE12" s="19" t="s">
        <v>96</v>
      </c>
    </row>
    <row r="13" spans="1:35">
      <c r="B13" s="19" t="s">
        <v>77</v>
      </c>
      <c r="C13" s="19" t="s">
        <v>77</v>
      </c>
      <c r="E13" s="19" t="s">
        <v>78</v>
      </c>
      <c r="F13" s="19" t="s">
        <v>79</v>
      </c>
      <c r="G13" s="25" t="s">
        <v>80</v>
      </c>
      <c r="H13" s="29" t="s">
        <v>81</v>
      </c>
      <c r="I13" s="2" t="str">
        <f t="shared" si="0"/>
        <v>Validate the data ingested do not have null or blank records  on Period - Last Friday of every Month</v>
      </c>
      <c r="J13" s="16" t="s">
        <v>104</v>
      </c>
      <c r="K13" t="s">
        <v>110</v>
      </c>
      <c r="L13" s="16" t="s">
        <v>105</v>
      </c>
      <c r="M13" t="s">
        <v>85</v>
      </c>
      <c r="N13" s="19" t="s">
        <v>125</v>
      </c>
      <c r="O13" s="21">
        <v>0.99</v>
      </c>
      <c r="P13" s="19" t="s">
        <v>87</v>
      </c>
      <c r="Q13" s="19" t="s">
        <v>88</v>
      </c>
      <c r="R13" s="19" t="s">
        <v>89</v>
      </c>
      <c r="T13" s="23" t="s">
        <v>90</v>
      </c>
      <c r="U13" s="27" t="s">
        <v>126</v>
      </c>
      <c r="V13" s="23" t="s">
        <v>77</v>
      </c>
      <c r="W13" t="s">
        <v>127</v>
      </c>
      <c r="X13" s="16" t="s">
        <v>106</v>
      </c>
      <c r="Y13" s="23" t="s">
        <v>94</v>
      </c>
      <c r="Z13" s="22"/>
      <c r="AA13" s="22"/>
      <c r="AB13" s="23"/>
      <c r="AC13" s="22"/>
      <c r="AD13" s="19" t="s">
        <v>95</v>
      </c>
      <c r="AE13" s="19" t="s">
        <v>96</v>
      </c>
    </row>
    <row r="14" spans="1:35">
      <c r="B14" s="19" t="s">
        <v>77</v>
      </c>
      <c r="C14" s="19" t="s">
        <v>77</v>
      </c>
      <c r="E14" s="19" t="s">
        <v>78</v>
      </c>
      <c r="F14" s="19" t="s">
        <v>79</v>
      </c>
      <c r="G14" s="25" t="s">
        <v>80</v>
      </c>
      <c r="H14" s="29" t="s">
        <v>81</v>
      </c>
      <c r="I14" s="2" t="str">
        <f t="shared" si="0"/>
        <v>Validate the records are within the accepted list of values on Period - Last Friday of every Month</v>
      </c>
      <c r="J14" s="16" t="s">
        <v>129</v>
      </c>
      <c r="K14" t="s">
        <v>98</v>
      </c>
      <c r="L14" s="16" t="s">
        <v>130</v>
      </c>
      <c r="M14" t="s">
        <v>100</v>
      </c>
      <c r="N14" s="19" t="s">
        <v>125</v>
      </c>
      <c r="O14" s="21">
        <v>0.99</v>
      </c>
      <c r="P14" s="19" t="s">
        <v>87</v>
      </c>
      <c r="Q14" s="19" t="s">
        <v>88</v>
      </c>
      <c r="R14" s="19" t="s">
        <v>89</v>
      </c>
      <c r="T14" s="23" t="s">
        <v>90</v>
      </c>
      <c r="U14" s="27" t="s">
        <v>126</v>
      </c>
      <c r="V14" s="23" t="s">
        <v>77</v>
      </c>
      <c r="W14" t="s">
        <v>127</v>
      </c>
      <c r="X14" s="16" t="s">
        <v>106</v>
      </c>
      <c r="Y14" s="23" t="s">
        <v>94</v>
      </c>
      <c r="Z14" s="22"/>
      <c r="AA14" s="22"/>
      <c r="AB14" s="23"/>
      <c r="AC14" s="22"/>
      <c r="AD14" s="19" t="s">
        <v>95</v>
      </c>
      <c r="AE14" s="19" t="s">
        <v>96</v>
      </c>
    </row>
    <row r="15" spans="1:35">
      <c r="B15" s="19" t="s">
        <v>77</v>
      </c>
      <c r="C15" s="19" t="s">
        <v>77</v>
      </c>
      <c r="E15" s="19" t="s">
        <v>78</v>
      </c>
      <c r="F15" s="19" t="s">
        <v>79</v>
      </c>
      <c r="G15" s="25" t="s">
        <v>80</v>
      </c>
      <c r="H15" s="29" t="s">
        <v>81</v>
      </c>
      <c r="I15" s="2" t="str">
        <f t="shared" si="0"/>
        <v>Validate the data ingested do not have null or blank records  on Standard_Average_Price - Last Friday of every Month</v>
      </c>
      <c r="J15" s="16" t="s">
        <v>109</v>
      </c>
      <c r="K15" t="s">
        <v>110</v>
      </c>
      <c r="L15" s="16" t="s">
        <v>111</v>
      </c>
      <c r="M15" t="s">
        <v>85</v>
      </c>
      <c r="N15" s="19" t="s">
        <v>125</v>
      </c>
      <c r="O15" s="21">
        <v>0.99</v>
      </c>
      <c r="P15" s="19" t="s">
        <v>87</v>
      </c>
      <c r="Q15" s="19" t="s">
        <v>88</v>
      </c>
      <c r="R15" s="19" t="s">
        <v>89</v>
      </c>
      <c r="T15" s="23" t="s">
        <v>90</v>
      </c>
      <c r="U15" s="27" t="s">
        <v>126</v>
      </c>
      <c r="V15" s="23" t="s">
        <v>77</v>
      </c>
      <c r="W15" t="s">
        <v>127</v>
      </c>
      <c r="X15" s="16" t="s">
        <v>112</v>
      </c>
      <c r="Y15" s="23" t="s">
        <v>94</v>
      </c>
      <c r="Z15" s="22"/>
      <c r="AA15" s="22"/>
      <c r="AB15" s="23"/>
      <c r="AC15" s="22"/>
      <c r="AD15" s="19" t="s">
        <v>95</v>
      </c>
      <c r="AE15" s="19" t="s">
        <v>96</v>
      </c>
    </row>
    <row r="16" spans="1:35">
      <c r="B16" s="19" t="s">
        <v>77</v>
      </c>
      <c r="C16" s="19" t="s">
        <v>77</v>
      </c>
      <c r="E16" s="19" t="s">
        <v>78</v>
      </c>
      <c r="F16" s="19" t="s">
        <v>79</v>
      </c>
      <c r="G16" s="25" t="s">
        <v>80</v>
      </c>
      <c r="H16" s="29" t="s">
        <v>81</v>
      </c>
      <c r="I16" s="2" t="str">
        <f t="shared" si="0"/>
        <v>Validate the data is within the acceptable range of values on Standard_Average_Price - Last Friday of every Month</v>
      </c>
      <c r="J16" s="16" t="s">
        <v>113</v>
      </c>
      <c r="K16" t="s">
        <v>114</v>
      </c>
      <c r="L16" s="16" t="s">
        <v>115</v>
      </c>
      <c r="M16" t="s">
        <v>116</v>
      </c>
      <c r="N16" s="19" t="s">
        <v>125</v>
      </c>
      <c r="O16" s="21">
        <v>0.99</v>
      </c>
      <c r="P16" s="19" t="s">
        <v>87</v>
      </c>
      <c r="Q16" s="19" t="s">
        <v>88</v>
      </c>
      <c r="R16" s="19" t="s">
        <v>89</v>
      </c>
      <c r="T16" s="23" t="s">
        <v>90</v>
      </c>
      <c r="U16" s="27" t="s">
        <v>126</v>
      </c>
      <c r="V16" s="23" t="s">
        <v>77</v>
      </c>
      <c r="W16" t="s">
        <v>127</v>
      </c>
      <c r="X16" s="16" t="s">
        <v>112</v>
      </c>
      <c r="Y16" s="23" t="s">
        <v>94</v>
      </c>
      <c r="Z16" s="22"/>
      <c r="AA16" s="22"/>
      <c r="AB16" s="23"/>
      <c r="AC16" s="22"/>
      <c r="AD16" s="19" t="s">
        <v>95</v>
      </c>
      <c r="AE16" s="19" t="s">
        <v>96</v>
      </c>
    </row>
    <row r="17" spans="1:35">
      <c r="B17" s="19" t="s">
        <v>77</v>
      </c>
      <c r="C17" s="19" t="s">
        <v>77</v>
      </c>
      <c r="E17" s="19" t="s">
        <v>78</v>
      </c>
      <c r="F17" s="19" t="s">
        <v>79</v>
      </c>
      <c r="G17" s="25" t="s">
        <v>80</v>
      </c>
      <c r="H17" s="29" t="s">
        <v>81</v>
      </c>
      <c r="I17" s="2" t="str">
        <f t="shared" si="0"/>
        <v>Validate the data has been received on the correct day and is available for ingestion on FILE LEVEL - Last Friday of every Month</v>
      </c>
      <c r="J17" s="16" t="s">
        <v>131</v>
      </c>
      <c r="K17" t="s">
        <v>118</v>
      </c>
      <c r="L17" s="2" t="s">
        <v>119</v>
      </c>
      <c r="M17" t="s">
        <v>120</v>
      </c>
      <c r="N17" s="19" t="s">
        <v>125</v>
      </c>
      <c r="O17" s="21">
        <v>0.99</v>
      </c>
      <c r="P17" s="19" t="s">
        <v>87</v>
      </c>
      <c r="Q17" s="19" t="s">
        <v>88</v>
      </c>
      <c r="R17" s="19" t="s">
        <v>121</v>
      </c>
      <c r="T17" s="23" t="s">
        <v>90</v>
      </c>
      <c r="U17" s="27" t="s">
        <v>126</v>
      </c>
      <c r="V17" s="23" t="s">
        <v>77</v>
      </c>
      <c r="W17" t="s">
        <v>127</v>
      </c>
      <c r="X17" s="17" t="s">
        <v>122</v>
      </c>
      <c r="Y17" s="23"/>
      <c r="Z17" s="22"/>
      <c r="AA17" s="22"/>
      <c r="AB17" s="23" t="s">
        <v>123</v>
      </c>
      <c r="AC17" s="22"/>
      <c r="AD17" s="19" t="s">
        <v>124</v>
      </c>
      <c r="AE17" s="19" t="s">
        <v>96</v>
      </c>
    </row>
    <row r="18" spans="1:35">
      <c r="A18" s="30"/>
      <c r="B18" s="31" t="s">
        <v>77</v>
      </c>
      <c r="C18" s="31" t="s">
        <v>77</v>
      </c>
      <c r="D18" s="30"/>
      <c r="E18" s="31" t="s">
        <v>78</v>
      </c>
      <c r="F18" s="31" t="s">
        <v>79</v>
      </c>
      <c r="G18" s="32" t="s">
        <v>80</v>
      </c>
      <c r="H18" s="32" t="s">
        <v>81</v>
      </c>
      <c r="I18" s="30" t="str">
        <f>+_xlfn.CONCAT(K18," on ",X18," - ",N18)</f>
        <v>Validate the data ingested do not have null or blank records  on Year - Last Friday of every Quarter</v>
      </c>
      <c r="J18" s="37" t="s">
        <v>101</v>
      </c>
      <c r="K18" s="33" t="s">
        <v>110</v>
      </c>
      <c r="L18" s="37" t="s">
        <v>102</v>
      </c>
      <c r="M18" s="33" t="s">
        <v>85</v>
      </c>
      <c r="N18" s="31" t="s">
        <v>132</v>
      </c>
      <c r="O18" s="34">
        <v>0.99</v>
      </c>
      <c r="P18" s="31" t="s">
        <v>87</v>
      </c>
      <c r="Q18" s="31" t="s">
        <v>88</v>
      </c>
      <c r="R18" s="31" t="s">
        <v>89</v>
      </c>
      <c r="S18" s="30"/>
      <c r="T18" s="31" t="s">
        <v>90</v>
      </c>
      <c r="U18" s="35" t="s">
        <v>133</v>
      </c>
      <c r="V18" s="31" t="s">
        <v>77</v>
      </c>
      <c r="W18" s="33" t="s">
        <v>134</v>
      </c>
      <c r="X18" s="37" t="s">
        <v>103</v>
      </c>
      <c r="Y18" s="31" t="s">
        <v>94</v>
      </c>
      <c r="Z18" s="30"/>
      <c r="AA18" s="30"/>
      <c r="AB18" s="31"/>
      <c r="AC18" s="30"/>
      <c r="AD18" s="31" t="s">
        <v>95</v>
      </c>
      <c r="AE18" s="31" t="s">
        <v>96</v>
      </c>
      <c r="AF18" s="30"/>
      <c r="AG18" s="36"/>
      <c r="AH18" s="36"/>
      <c r="AI18" s="30"/>
    </row>
    <row r="19" spans="1:35">
      <c r="A19" s="30"/>
      <c r="B19" s="31" t="s">
        <v>77</v>
      </c>
      <c r="C19" s="31" t="s">
        <v>77</v>
      </c>
      <c r="D19" s="30"/>
      <c r="E19" s="31" t="s">
        <v>78</v>
      </c>
      <c r="F19" s="31" t="s">
        <v>79</v>
      </c>
      <c r="G19" s="32" t="s">
        <v>80</v>
      </c>
      <c r="H19" s="32" t="s">
        <v>81</v>
      </c>
      <c r="I19" s="30" t="str">
        <f t="shared" si="0"/>
        <v>Validate the records are within the accepted list of values on Year - Last Friday of every Quarter</v>
      </c>
      <c r="J19" s="37" t="s">
        <v>135</v>
      </c>
      <c r="K19" s="33" t="s">
        <v>98</v>
      </c>
      <c r="L19" s="37" t="s">
        <v>136</v>
      </c>
      <c r="M19" s="33" t="s">
        <v>100</v>
      </c>
      <c r="N19" s="31" t="s">
        <v>132</v>
      </c>
      <c r="O19" s="34">
        <v>0.99</v>
      </c>
      <c r="P19" s="31" t="s">
        <v>87</v>
      </c>
      <c r="Q19" s="31" t="s">
        <v>88</v>
      </c>
      <c r="R19" s="31" t="s">
        <v>89</v>
      </c>
      <c r="S19" s="30"/>
      <c r="T19" s="31" t="s">
        <v>90</v>
      </c>
      <c r="U19" s="35" t="s">
        <v>133</v>
      </c>
      <c r="V19" s="31" t="s">
        <v>77</v>
      </c>
      <c r="W19" s="33" t="s">
        <v>134</v>
      </c>
      <c r="X19" s="37" t="s">
        <v>103</v>
      </c>
      <c r="Y19" s="31" t="s">
        <v>94</v>
      </c>
      <c r="Z19" s="30"/>
      <c r="AA19" s="30"/>
      <c r="AB19" s="31"/>
      <c r="AC19" s="30"/>
      <c r="AD19" s="31" t="s">
        <v>95</v>
      </c>
      <c r="AE19" s="31" t="s">
        <v>96</v>
      </c>
      <c r="AF19" s="30"/>
      <c r="AG19" s="36"/>
      <c r="AH19" s="36"/>
      <c r="AI19" s="30"/>
    </row>
    <row r="20" spans="1:35">
      <c r="A20" s="30"/>
      <c r="B20" s="31" t="s">
        <v>77</v>
      </c>
      <c r="C20" s="31" t="s">
        <v>77</v>
      </c>
      <c r="D20" s="30"/>
      <c r="E20" s="31" t="s">
        <v>78</v>
      </c>
      <c r="F20" s="31" t="s">
        <v>79</v>
      </c>
      <c r="G20" s="32" t="s">
        <v>80</v>
      </c>
      <c r="H20" s="32" t="s">
        <v>81</v>
      </c>
      <c r="I20" s="30" t="str">
        <f t="shared" si="0"/>
        <v>Validate the data ingested do not have null or blank records  on Price (UK Column) - Last Friday of every Quarter</v>
      </c>
      <c r="J20" s="37" t="s">
        <v>137</v>
      </c>
      <c r="K20" s="33" t="s">
        <v>110</v>
      </c>
      <c r="L20" s="37" t="s">
        <v>138</v>
      </c>
      <c r="M20" s="33" t="s">
        <v>85</v>
      </c>
      <c r="N20" s="31" t="s">
        <v>132</v>
      </c>
      <c r="O20" s="34">
        <v>0.99</v>
      </c>
      <c r="P20" s="31" t="s">
        <v>87</v>
      </c>
      <c r="Q20" s="31" t="s">
        <v>88</v>
      </c>
      <c r="R20" s="31" t="s">
        <v>89</v>
      </c>
      <c r="S20" s="30"/>
      <c r="T20" s="31" t="s">
        <v>90</v>
      </c>
      <c r="U20" s="35" t="s">
        <v>133</v>
      </c>
      <c r="V20" s="31" t="s">
        <v>77</v>
      </c>
      <c r="W20" s="33" t="s">
        <v>134</v>
      </c>
      <c r="X20" s="37" t="s">
        <v>139</v>
      </c>
      <c r="Y20" s="31" t="s">
        <v>94</v>
      </c>
      <c r="Z20" s="30"/>
      <c r="AA20" s="30"/>
      <c r="AB20" s="31"/>
      <c r="AC20" s="30"/>
      <c r="AD20" s="31" t="s">
        <v>95</v>
      </c>
      <c r="AE20" s="31" t="s">
        <v>96</v>
      </c>
      <c r="AF20" s="30"/>
      <c r="AG20" s="36"/>
      <c r="AH20" s="36"/>
      <c r="AI20" s="30"/>
    </row>
    <row r="21" spans="1:35">
      <c r="A21" s="30"/>
      <c r="B21" s="31" t="s">
        <v>77</v>
      </c>
      <c r="C21" s="31" t="s">
        <v>77</v>
      </c>
      <c r="D21" s="30"/>
      <c r="E21" s="31" t="s">
        <v>78</v>
      </c>
      <c r="F21" s="31" t="s">
        <v>79</v>
      </c>
      <c r="G21" s="32" t="s">
        <v>80</v>
      </c>
      <c r="H21" s="32" t="s">
        <v>81</v>
      </c>
      <c r="I21" s="30" t="str">
        <f t="shared" si="0"/>
        <v>Validate the data has been received on the correct day and is available for ingestion on FILE LEVEL - Last Friday of every Quarter</v>
      </c>
      <c r="J21" s="37" t="s">
        <v>140</v>
      </c>
      <c r="K21" s="33" t="s">
        <v>118</v>
      </c>
      <c r="L21" s="30" t="s">
        <v>119</v>
      </c>
      <c r="M21" s="33" t="s">
        <v>120</v>
      </c>
      <c r="N21" s="31" t="s">
        <v>132</v>
      </c>
      <c r="O21" s="34">
        <v>0.99</v>
      </c>
      <c r="P21" s="31" t="s">
        <v>87</v>
      </c>
      <c r="Q21" s="31" t="s">
        <v>88</v>
      </c>
      <c r="R21" s="31" t="s">
        <v>121</v>
      </c>
      <c r="S21" s="30"/>
      <c r="T21" s="31" t="s">
        <v>90</v>
      </c>
      <c r="U21" s="35" t="s">
        <v>133</v>
      </c>
      <c r="V21" s="31" t="s">
        <v>77</v>
      </c>
      <c r="W21" s="33" t="s">
        <v>134</v>
      </c>
      <c r="X21" s="38" t="s">
        <v>122</v>
      </c>
      <c r="Y21" s="31"/>
      <c r="Z21" s="30"/>
      <c r="AA21" s="30"/>
      <c r="AB21" s="31" t="s">
        <v>123</v>
      </c>
      <c r="AC21" s="30"/>
      <c r="AD21" s="31" t="s">
        <v>124</v>
      </c>
      <c r="AE21" s="31" t="s">
        <v>96</v>
      </c>
      <c r="AF21" s="30"/>
      <c r="AG21" s="36"/>
      <c r="AH21" s="36"/>
      <c r="AI21" s="30"/>
    </row>
    <row r="22" spans="1:35">
      <c r="B22" s="19" t="s">
        <v>77</v>
      </c>
      <c r="C22" s="19" t="s">
        <v>77</v>
      </c>
      <c r="E22" s="19" t="s">
        <v>78</v>
      </c>
      <c r="F22" s="19" t="s">
        <v>79</v>
      </c>
      <c r="G22" s="25" t="s">
        <v>80</v>
      </c>
      <c r="H22" s="25" t="s">
        <v>81</v>
      </c>
      <c r="I22" s="2" t="str">
        <f t="shared" si="0"/>
        <v>Validate the records are within the accepted list of values on Year - Last Friday of every Quarter</v>
      </c>
      <c r="J22" s="16" t="s">
        <v>135</v>
      </c>
      <c r="K22" t="s">
        <v>98</v>
      </c>
      <c r="L22" s="16" t="s">
        <v>136</v>
      </c>
      <c r="M22" t="s">
        <v>100</v>
      </c>
      <c r="N22" s="19" t="s">
        <v>132</v>
      </c>
      <c r="O22" s="21">
        <v>0.99</v>
      </c>
      <c r="P22" s="19" t="s">
        <v>87</v>
      </c>
      <c r="Q22" s="19" t="s">
        <v>88</v>
      </c>
      <c r="R22" s="19" t="s">
        <v>89</v>
      </c>
      <c r="T22" s="19" t="s">
        <v>90</v>
      </c>
      <c r="U22" s="28" t="s">
        <v>141</v>
      </c>
      <c r="V22" s="19" t="s">
        <v>77</v>
      </c>
      <c r="W22" s="2" t="s">
        <v>134</v>
      </c>
      <c r="X22" s="16" t="s">
        <v>103</v>
      </c>
      <c r="Y22" s="19" t="s">
        <v>94</v>
      </c>
      <c r="AD22" s="19" t="s">
        <v>95</v>
      </c>
      <c r="AE22" s="19" t="s">
        <v>96</v>
      </c>
    </row>
    <row r="23" spans="1:35">
      <c r="B23" s="19" t="s">
        <v>77</v>
      </c>
      <c r="C23" s="19" t="s">
        <v>77</v>
      </c>
      <c r="E23" s="19" t="s">
        <v>78</v>
      </c>
      <c r="F23" s="19" t="s">
        <v>79</v>
      </c>
      <c r="G23" s="25" t="s">
        <v>80</v>
      </c>
      <c r="H23" s="25" t="s">
        <v>81</v>
      </c>
      <c r="I23" s="2" t="str">
        <f t="shared" si="0"/>
        <v>Validate the data ingested do not have null or blank records  on Year - Last Friday of every Quarter</v>
      </c>
      <c r="J23" s="16" t="s">
        <v>101</v>
      </c>
      <c r="K23" t="s">
        <v>110</v>
      </c>
      <c r="L23" s="16" t="s">
        <v>102</v>
      </c>
      <c r="M23" t="s">
        <v>85</v>
      </c>
      <c r="N23" s="19" t="s">
        <v>132</v>
      </c>
      <c r="O23" s="21">
        <v>0.99</v>
      </c>
      <c r="P23" s="19" t="s">
        <v>87</v>
      </c>
      <c r="Q23" s="19" t="s">
        <v>88</v>
      </c>
      <c r="R23" s="19" t="s">
        <v>89</v>
      </c>
      <c r="T23" s="19" t="s">
        <v>90</v>
      </c>
      <c r="U23" s="28" t="s">
        <v>141</v>
      </c>
      <c r="V23" s="19" t="s">
        <v>77</v>
      </c>
      <c r="W23" s="2" t="s">
        <v>134</v>
      </c>
      <c r="X23" t="s">
        <v>103</v>
      </c>
      <c r="Y23" s="19" t="s">
        <v>94</v>
      </c>
      <c r="AD23" s="19" t="s">
        <v>95</v>
      </c>
      <c r="AE23" s="19" t="s">
        <v>96</v>
      </c>
    </row>
    <row r="24" spans="1:35">
      <c r="B24" s="19" t="s">
        <v>77</v>
      </c>
      <c r="C24" s="19" t="s">
        <v>77</v>
      </c>
      <c r="E24" s="19" t="s">
        <v>78</v>
      </c>
      <c r="F24" s="19" t="s">
        <v>79</v>
      </c>
      <c r="G24" s="25" t="s">
        <v>80</v>
      </c>
      <c r="H24" s="25" t="s">
        <v>81</v>
      </c>
      <c r="I24" s="2" t="str">
        <f t="shared" si="0"/>
        <v>Validate the data has been received on the correct day and is available for ingestion on FILE LEVEL - Last Friday of every Quarter</v>
      </c>
      <c r="J24" s="16" t="s">
        <v>140</v>
      </c>
      <c r="K24" t="s">
        <v>118</v>
      </c>
      <c r="L24" s="2" t="s">
        <v>119</v>
      </c>
      <c r="M24" t="s">
        <v>120</v>
      </c>
      <c r="N24" s="19" t="s">
        <v>132</v>
      </c>
      <c r="O24" s="21">
        <v>0.99</v>
      </c>
      <c r="P24" s="19" t="s">
        <v>87</v>
      </c>
      <c r="Q24" s="19" t="s">
        <v>88</v>
      </c>
      <c r="R24" s="19" t="s">
        <v>121</v>
      </c>
      <c r="T24" s="19" t="s">
        <v>90</v>
      </c>
      <c r="U24" s="28" t="s">
        <v>141</v>
      </c>
      <c r="V24" s="19" t="s">
        <v>77</v>
      </c>
      <c r="W24" s="2" t="s">
        <v>134</v>
      </c>
      <c r="X24" s="17" t="s">
        <v>122</v>
      </c>
      <c r="AB24" s="19" t="s">
        <v>123</v>
      </c>
      <c r="AD24" s="19" t="s">
        <v>124</v>
      </c>
      <c r="AE24" s="19" t="s">
        <v>96</v>
      </c>
    </row>
    <row r="25" spans="1:35">
      <c r="A25" s="40"/>
      <c r="B25" s="39" t="s">
        <v>77</v>
      </c>
      <c r="C25" s="39" t="s">
        <v>77</v>
      </c>
      <c r="D25" s="40"/>
      <c r="E25" s="39" t="s">
        <v>78</v>
      </c>
      <c r="F25" s="39" t="s">
        <v>79</v>
      </c>
      <c r="G25" s="41" t="s">
        <v>80</v>
      </c>
      <c r="H25" s="41" t="s">
        <v>81</v>
      </c>
      <c r="I25" s="40" t="str">
        <f t="shared" si="0"/>
        <v>Validate the data ingested do not have null or blank records  on RegionIDDesc - Last Friday of every Quarter</v>
      </c>
      <c r="J25" s="42" t="s">
        <v>82</v>
      </c>
      <c r="K25" s="43" t="s">
        <v>110</v>
      </c>
      <c r="L25" s="40" t="s">
        <v>84</v>
      </c>
      <c r="M25" s="43" t="s">
        <v>85</v>
      </c>
      <c r="N25" s="39" t="s">
        <v>132</v>
      </c>
      <c r="O25" s="44">
        <v>0.99</v>
      </c>
      <c r="P25" s="39" t="s">
        <v>87</v>
      </c>
      <c r="Q25" s="39" t="s">
        <v>88</v>
      </c>
      <c r="R25" s="39" t="s">
        <v>89</v>
      </c>
      <c r="S25" s="40"/>
      <c r="T25" s="39" t="s">
        <v>90</v>
      </c>
      <c r="U25" s="45" t="s">
        <v>142</v>
      </c>
      <c r="V25" s="39" t="s">
        <v>77</v>
      </c>
      <c r="W25" s="40" t="s">
        <v>134</v>
      </c>
      <c r="X25" s="42" t="s">
        <v>93</v>
      </c>
      <c r="Y25" s="39" t="s">
        <v>94</v>
      </c>
      <c r="Z25" s="40"/>
      <c r="AA25" s="40"/>
      <c r="AB25" s="39"/>
      <c r="AC25" s="40"/>
      <c r="AD25" s="39" t="s">
        <v>95</v>
      </c>
      <c r="AE25" s="39" t="s">
        <v>96</v>
      </c>
      <c r="AF25" s="40"/>
      <c r="AG25" s="46"/>
      <c r="AH25" s="46"/>
      <c r="AI25" s="40"/>
    </row>
    <row r="26" spans="1:35">
      <c r="A26" s="40"/>
      <c r="B26" s="39" t="s">
        <v>77</v>
      </c>
      <c r="C26" s="39" t="s">
        <v>77</v>
      </c>
      <c r="D26" s="40"/>
      <c r="E26" s="39" t="s">
        <v>78</v>
      </c>
      <c r="F26" s="39" t="s">
        <v>79</v>
      </c>
      <c r="G26" s="41" t="s">
        <v>80</v>
      </c>
      <c r="H26" s="41" t="s">
        <v>81</v>
      </c>
      <c r="I26" s="40" t="str">
        <f t="shared" si="0"/>
        <v>Validate the records are within the accepted list of values on RegionIDDesc - Last Friday of every Quarter</v>
      </c>
      <c r="J26" s="42" t="s">
        <v>97</v>
      </c>
      <c r="K26" s="43" t="s">
        <v>98</v>
      </c>
      <c r="L26" s="40" t="s">
        <v>99</v>
      </c>
      <c r="M26" s="43" t="s">
        <v>100</v>
      </c>
      <c r="N26" s="39" t="s">
        <v>132</v>
      </c>
      <c r="O26" s="44">
        <v>0.99</v>
      </c>
      <c r="P26" s="39" t="s">
        <v>87</v>
      </c>
      <c r="Q26" s="39" t="s">
        <v>88</v>
      </c>
      <c r="R26" s="39" t="s">
        <v>89</v>
      </c>
      <c r="S26" s="40"/>
      <c r="T26" s="39" t="s">
        <v>90</v>
      </c>
      <c r="U26" s="45" t="s">
        <v>142</v>
      </c>
      <c r="V26" s="39" t="s">
        <v>77</v>
      </c>
      <c r="W26" s="40" t="s">
        <v>134</v>
      </c>
      <c r="X26" s="42" t="s">
        <v>93</v>
      </c>
      <c r="Y26" s="39" t="s">
        <v>94</v>
      </c>
      <c r="Z26" s="40"/>
      <c r="AA26" s="40"/>
      <c r="AB26" s="39"/>
      <c r="AC26" s="40"/>
      <c r="AD26" s="39" t="s">
        <v>95</v>
      </c>
      <c r="AE26" s="39" t="s">
        <v>96</v>
      </c>
      <c r="AF26" s="40"/>
      <c r="AG26" s="46"/>
      <c r="AH26" s="46"/>
      <c r="AI26" s="40"/>
    </row>
    <row r="27" spans="1:35">
      <c r="A27" s="40"/>
      <c r="B27" s="39" t="s">
        <v>77</v>
      </c>
      <c r="C27" s="39" t="s">
        <v>77</v>
      </c>
      <c r="D27" s="40"/>
      <c r="E27" s="39" t="s">
        <v>78</v>
      </c>
      <c r="F27" s="39" t="s">
        <v>79</v>
      </c>
      <c r="G27" s="41" t="s">
        <v>80</v>
      </c>
      <c r="H27" s="41" t="s">
        <v>81</v>
      </c>
      <c r="I27" s="40" t="str">
        <f t="shared" si="0"/>
        <v>Validate the data ingested do not have null or blank records  on Year - Last Friday of every Quarter</v>
      </c>
      <c r="J27" s="42" t="s">
        <v>101</v>
      </c>
      <c r="K27" s="43" t="s">
        <v>110</v>
      </c>
      <c r="L27" s="42" t="s">
        <v>102</v>
      </c>
      <c r="M27" s="43" t="s">
        <v>85</v>
      </c>
      <c r="N27" s="39" t="s">
        <v>132</v>
      </c>
      <c r="O27" s="44">
        <v>0.99</v>
      </c>
      <c r="P27" s="39" t="s">
        <v>87</v>
      </c>
      <c r="Q27" s="39" t="s">
        <v>88</v>
      </c>
      <c r="R27" s="39" t="s">
        <v>89</v>
      </c>
      <c r="S27" s="40"/>
      <c r="T27" s="39" t="s">
        <v>90</v>
      </c>
      <c r="U27" s="45" t="s">
        <v>142</v>
      </c>
      <c r="V27" s="39" t="s">
        <v>77</v>
      </c>
      <c r="W27" s="40" t="s">
        <v>134</v>
      </c>
      <c r="X27" s="42" t="s">
        <v>103</v>
      </c>
      <c r="Y27" s="39" t="s">
        <v>94</v>
      </c>
      <c r="Z27" s="40"/>
      <c r="AA27" s="40"/>
      <c r="AB27" s="39"/>
      <c r="AC27" s="40"/>
      <c r="AD27" s="39" t="s">
        <v>95</v>
      </c>
      <c r="AE27" s="39" t="s">
        <v>96</v>
      </c>
      <c r="AF27" s="40"/>
      <c r="AG27" s="46"/>
      <c r="AH27" s="46"/>
      <c r="AI27" s="40"/>
    </row>
    <row r="28" spans="1:35">
      <c r="A28" s="40"/>
      <c r="B28" s="39" t="s">
        <v>77</v>
      </c>
      <c r="C28" s="39" t="s">
        <v>77</v>
      </c>
      <c r="D28" s="40"/>
      <c r="E28" s="39" t="s">
        <v>78</v>
      </c>
      <c r="F28" s="39" t="s">
        <v>79</v>
      </c>
      <c r="G28" s="41" t="s">
        <v>80</v>
      </c>
      <c r="H28" s="41" t="s">
        <v>81</v>
      </c>
      <c r="I28" s="40" t="str">
        <f t="shared" si="0"/>
        <v>Validate the data ingested do not have null or blank records  on Period - Last Friday of every Quarter</v>
      </c>
      <c r="J28" s="42" t="s">
        <v>104</v>
      </c>
      <c r="K28" s="43" t="s">
        <v>110</v>
      </c>
      <c r="L28" s="42" t="s">
        <v>105</v>
      </c>
      <c r="M28" s="43" t="s">
        <v>85</v>
      </c>
      <c r="N28" s="39" t="s">
        <v>132</v>
      </c>
      <c r="O28" s="44">
        <v>0.99</v>
      </c>
      <c r="P28" s="39" t="s">
        <v>87</v>
      </c>
      <c r="Q28" s="39" t="s">
        <v>88</v>
      </c>
      <c r="R28" s="39" t="s">
        <v>89</v>
      </c>
      <c r="S28" s="40"/>
      <c r="T28" s="39" t="s">
        <v>90</v>
      </c>
      <c r="U28" s="45" t="s">
        <v>142</v>
      </c>
      <c r="V28" s="39" t="s">
        <v>77</v>
      </c>
      <c r="W28" s="40" t="s">
        <v>134</v>
      </c>
      <c r="X28" s="42" t="s">
        <v>106</v>
      </c>
      <c r="Y28" s="39" t="s">
        <v>94</v>
      </c>
      <c r="Z28" s="40"/>
      <c r="AA28" s="40"/>
      <c r="AB28" s="39"/>
      <c r="AC28" s="40"/>
      <c r="AD28" s="39" t="s">
        <v>95</v>
      </c>
      <c r="AE28" s="39" t="s">
        <v>96</v>
      </c>
      <c r="AF28" s="40"/>
      <c r="AG28" s="46"/>
      <c r="AH28" s="46"/>
      <c r="AI28" s="40"/>
    </row>
    <row r="29" spans="1:35">
      <c r="A29" s="40"/>
      <c r="B29" s="39" t="s">
        <v>77</v>
      </c>
      <c r="C29" s="39" t="s">
        <v>77</v>
      </c>
      <c r="D29" s="40"/>
      <c r="E29" s="39" t="s">
        <v>78</v>
      </c>
      <c r="F29" s="39" t="s">
        <v>79</v>
      </c>
      <c r="G29" s="41" t="s">
        <v>80</v>
      </c>
      <c r="H29" s="41" t="s">
        <v>81</v>
      </c>
      <c r="I29" s="40" t="str">
        <f t="shared" si="0"/>
        <v>Validate the records are within the accepted list of values on Period - Last Friday of every Quarter</v>
      </c>
      <c r="J29" s="42" t="s">
        <v>143</v>
      </c>
      <c r="K29" s="43" t="s">
        <v>98</v>
      </c>
      <c r="L29" s="42" t="s">
        <v>144</v>
      </c>
      <c r="M29" s="43" t="s">
        <v>100</v>
      </c>
      <c r="N29" s="39" t="s">
        <v>132</v>
      </c>
      <c r="O29" s="44">
        <v>0.99</v>
      </c>
      <c r="P29" s="39" t="s">
        <v>87</v>
      </c>
      <c r="Q29" s="39" t="s">
        <v>88</v>
      </c>
      <c r="R29" s="39" t="s">
        <v>89</v>
      </c>
      <c r="S29" s="40"/>
      <c r="T29" s="39" t="s">
        <v>90</v>
      </c>
      <c r="U29" s="45" t="s">
        <v>142</v>
      </c>
      <c r="V29" s="39" t="s">
        <v>77</v>
      </c>
      <c r="W29" s="40" t="s">
        <v>134</v>
      </c>
      <c r="X29" s="42" t="s">
        <v>106</v>
      </c>
      <c r="Y29" s="39" t="s">
        <v>94</v>
      </c>
      <c r="Z29" s="40"/>
      <c r="AA29" s="40"/>
      <c r="AB29" s="39"/>
      <c r="AC29" s="40"/>
      <c r="AD29" s="39" t="s">
        <v>95</v>
      </c>
      <c r="AE29" s="39" t="s">
        <v>96</v>
      </c>
      <c r="AF29" s="40"/>
      <c r="AG29" s="46"/>
      <c r="AH29" s="46"/>
      <c r="AI29" s="40"/>
    </row>
    <row r="30" spans="1:35">
      <c r="A30" s="40"/>
      <c r="B30" s="39" t="s">
        <v>77</v>
      </c>
      <c r="C30" s="39" t="s">
        <v>77</v>
      </c>
      <c r="D30" s="40"/>
      <c r="E30" s="39" t="s">
        <v>78</v>
      </c>
      <c r="F30" s="39" t="s">
        <v>79</v>
      </c>
      <c r="G30" s="41" t="s">
        <v>80</v>
      </c>
      <c r="H30" s="41" t="s">
        <v>81</v>
      </c>
      <c r="I30" s="40" t="str">
        <f t="shared" si="0"/>
        <v>Validate the data ingested do not have null or blank records  on Standard_Average_Price - Last Friday of every Quarter</v>
      </c>
      <c r="J30" s="42" t="s">
        <v>109</v>
      </c>
      <c r="K30" s="43" t="s">
        <v>110</v>
      </c>
      <c r="L30" s="42" t="s">
        <v>111</v>
      </c>
      <c r="M30" s="43" t="s">
        <v>85</v>
      </c>
      <c r="N30" s="39" t="s">
        <v>132</v>
      </c>
      <c r="O30" s="44">
        <v>0.99</v>
      </c>
      <c r="P30" s="39" t="s">
        <v>87</v>
      </c>
      <c r="Q30" s="39" t="s">
        <v>88</v>
      </c>
      <c r="R30" s="39" t="s">
        <v>89</v>
      </c>
      <c r="S30" s="40"/>
      <c r="T30" s="39" t="s">
        <v>90</v>
      </c>
      <c r="U30" s="45" t="s">
        <v>142</v>
      </c>
      <c r="V30" s="39" t="s">
        <v>77</v>
      </c>
      <c r="W30" s="40" t="s">
        <v>134</v>
      </c>
      <c r="X30" s="42" t="s">
        <v>112</v>
      </c>
      <c r="Y30" s="39" t="s">
        <v>94</v>
      </c>
      <c r="Z30" s="40"/>
      <c r="AA30" s="40"/>
      <c r="AB30" s="39"/>
      <c r="AC30" s="40"/>
      <c r="AD30" s="39" t="s">
        <v>95</v>
      </c>
      <c r="AE30" s="39" t="s">
        <v>96</v>
      </c>
      <c r="AF30" s="40"/>
      <c r="AG30" s="46"/>
      <c r="AH30" s="46"/>
      <c r="AI30" s="40"/>
    </row>
    <row r="31" spans="1:35">
      <c r="A31" s="40"/>
      <c r="B31" s="39" t="s">
        <v>77</v>
      </c>
      <c r="C31" s="39" t="s">
        <v>77</v>
      </c>
      <c r="D31" s="40"/>
      <c r="E31" s="39" t="s">
        <v>78</v>
      </c>
      <c r="F31" s="39" t="s">
        <v>79</v>
      </c>
      <c r="G31" s="41" t="s">
        <v>80</v>
      </c>
      <c r="H31" s="41" t="s">
        <v>81</v>
      </c>
      <c r="I31" s="40" t="str">
        <f t="shared" si="0"/>
        <v>Validate the data is within the acceptable range of values on Standard_Average_Price - Last Friday of every Quarter</v>
      </c>
      <c r="J31" s="42" t="s">
        <v>113</v>
      </c>
      <c r="K31" s="43" t="s">
        <v>114</v>
      </c>
      <c r="L31" s="42" t="s">
        <v>115</v>
      </c>
      <c r="M31" s="43" t="s">
        <v>116</v>
      </c>
      <c r="N31" s="39" t="s">
        <v>132</v>
      </c>
      <c r="O31" s="44">
        <v>0.99</v>
      </c>
      <c r="P31" s="39" t="s">
        <v>87</v>
      </c>
      <c r="Q31" s="39" t="s">
        <v>88</v>
      </c>
      <c r="R31" s="39" t="s">
        <v>89</v>
      </c>
      <c r="S31" s="40"/>
      <c r="T31" s="39" t="s">
        <v>90</v>
      </c>
      <c r="U31" s="45" t="s">
        <v>142</v>
      </c>
      <c r="V31" s="39" t="s">
        <v>77</v>
      </c>
      <c r="W31" s="40" t="s">
        <v>134</v>
      </c>
      <c r="X31" s="42" t="s">
        <v>112</v>
      </c>
      <c r="Y31" s="39" t="s">
        <v>94</v>
      </c>
      <c r="Z31" s="40"/>
      <c r="AA31" s="40"/>
      <c r="AB31" s="39"/>
      <c r="AC31" s="40"/>
      <c r="AD31" s="39" t="s">
        <v>95</v>
      </c>
      <c r="AE31" s="39" t="s">
        <v>96</v>
      </c>
      <c r="AF31" s="40"/>
      <c r="AG31" s="46"/>
      <c r="AH31" s="46"/>
      <c r="AI31" s="40"/>
    </row>
    <row r="32" spans="1:35">
      <c r="A32" s="40"/>
      <c r="B32" s="39" t="s">
        <v>77</v>
      </c>
      <c r="C32" s="39" t="s">
        <v>77</v>
      </c>
      <c r="D32" s="40"/>
      <c r="E32" s="39" t="s">
        <v>78</v>
      </c>
      <c r="F32" s="39" t="s">
        <v>79</v>
      </c>
      <c r="G32" s="41" t="s">
        <v>80</v>
      </c>
      <c r="H32" s="41" t="s">
        <v>81</v>
      </c>
      <c r="I32" s="40" t="str">
        <f t="shared" si="0"/>
        <v>Validate the data has been received on the correct day and is available for ingestion on FILE LEVEL - Last Friday of every Quarter</v>
      </c>
      <c r="J32" s="42" t="s">
        <v>140</v>
      </c>
      <c r="K32" s="43" t="s">
        <v>118</v>
      </c>
      <c r="L32" s="40" t="s">
        <v>119</v>
      </c>
      <c r="M32" s="43" t="s">
        <v>120</v>
      </c>
      <c r="N32" s="39" t="s">
        <v>132</v>
      </c>
      <c r="O32" s="44">
        <v>0.99</v>
      </c>
      <c r="P32" s="39" t="s">
        <v>87</v>
      </c>
      <c r="Q32" s="39" t="s">
        <v>88</v>
      </c>
      <c r="R32" s="39" t="s">
        <v>121</v>
      </c>
      <c r="S32" s="40"/>
      <c r="T32" s="39" t="s">
        <v>90</v>
      </c>
      <c r="U32" s="45" t="s">
        <v>142</v>
      </c>
      <c r="V32" s="39" t="s">
        <v>77</v>
      </c>
      <c r="W32" s="40" t="s">
        <v>134</v>
      </c>
      <c r="X32" s="47" t="s">
        <v>122</v>
      </c>
      <c r="Y32" s="39"/>
      <c r="Z32" s="40"/>
      <c r="AA32" s="40"/>
      <c r="AB32" s="39" t="s">
        <v>123</v>
      </c>
      <c r="AC32" s="40"/>
      <c r="AD32" s="39" t="s">
        <v>124</v>
      </c>
      <c r="AE32" s="39" t="s">
        <v>96</v>
      </c>
      <c r="AF32" s="40"/>
      <c r="AG32" s="46"/>
      <c r="AH32" s="46"/>
      <c r="AI32" s="40"/>
    </row>
    <row r="33" spans="1:35">
      <c r="B33" s="19"/>
      <c r="C33" s="19"/>
      <c r="E33" s="19"/>
      <c r="F33" s="19"/>
      <c r="H33" s="25"/>
      <c r="J33" s="16"/>
      <c r="N33" s="19"/>
      <c r="O33" s="21"/>
      <c r="P33" s="19"/>
      <c r="Q33" s="19"/>
      <c r="R33" s="19"/>
      <c r="X33" s="17"/>
    </row>
    <row r="34" spans="1:35">
      <c r="A34" s="40"/>
      <c r="B34" s="39" t="s">
        <v>77</v>
      </c>
      <c r="C34" s="39" t="s">
        <v>77</v>
      </c>
      <c r="D34" s="40"/>
      <c r="E34" s="39" t="s">
        <v>78</v>
      </c>
      <c r="F34" s="39" t="s">
        <v>79</v>
      </c>
      <c r="G34" s="41" t="s">
        <v>80</v>
      </c>
      <c r="H34" s="41" t="s">
        <v>81</v>
      </c>
      <c r="I34" s="40" t="str">
        <f t="shared" si="0"/>
        <v>Validate the number of records where RegionIDDesc is null or blank on RegionIDDesc - Last Friday of every Quarter</v>
      </c>
      <c r="J34" s="42" t="s">
        <v>82</v>
      </c>
      <c r="K34" s="43" t="s">
        <v>145</v>
      </c>
      <c r="L34" s="40" t="s">
        <v>146</v>
      </c>
      <c r="M34" s="43" t="s">
        <v>147</v>
      </c>
      <c r="N34" s="39" t="s">
        <v>132</v>
      </c>
      <c r="O34" s="44">
        <v>0.99</v>
      </c>
      <c r="P34" s="39" t="s">
        <v>87</v>
      </c>
      <c r="Q34" s="39" t="s">
        <v>88</v>
      </c>
      <c r="R34" s="39" t="s">
        <v>89</v>
      </c>
      <c r="S34" s="40"/>
      <c r="T34" s="39" t="s">
        <v>90</v>
      </c>
      <c r="U34" s="45" t="s">
        <v>142</v>
      </c>
      <c r="V34" s="39" t="s">
        <v>77</v>
      </c>
      <c r="W34" s="40" t="s">
        <v>134</v>
      </c>
      <c r="X34" s="47" t="s">
        <v>93</v>
      </c>
      <c r="Y34" s="39" t="s">
        <v>94</v>
      </c>
      <c r="Z34" s="40"/>
      <c r="AA34" s="40"/>
      <c r="AB34" s="39"/>
      <c r="AC34" s="40"/>
      <c r="AD34" s="39" t="s">
        <v>124</v>
      </c>
      <c r="AE34" s="39" t="s">
        <v>96</v>
      </c>
      <c r="AF34" s="40"/>
      <c r="AG34" s="46"/>
      <c r="AH34" s="46"/>
      <c r="AI34" s="40"/>
    </row>
    <row r="35" spans="1:35">
      <c r="A35" s="40"/>
      <c r="B35" s="39" t="s">
        <v>77</v>
      </c>
      <c r="C35" s="39" t="s">
        <v>77</v>
      </c>
      <c r="D35" s="40"/>
      <c r="E35" s="39" t="s">
        <v>78</v>
      </c>
      <c r="F35" s="39" t="s">
        <v>79</v>
      </c>
      <c r="G35" s="41" t="s">
        <v>80</v>
      </c>
      <c r="H35" s="41" t="s">
        <v>81</v>
      </c>
      <c r="I35" s="40" t="str">
        <f t="shared" si="0"/>
        <v>Validate the number of records where RegionIDDesc not in valid list of values ('East Anglia','East Midlands','Greater London','North West','North','Nthn Ireland','Scotland','South East','South West','Wales','West Midlands','Yorkshire &amp; Humberside','Total') on RegionIDDesc - Last Friday of every Quarter</v>
      </c>
      <c r="J35" s="42" t="s">
        <v>148</v>
      </c>
      <c r="K35" s="42" t="s">
        <v>149</v>
      </c>
      <c r="L35" s="40" t="s">
        <v>150</v>
      </c>
      <c r="M35" s="43" t="s">
        <v>147</v>
      </c>
      <c r="N35" s="39" t="s">
        <v>132</v>
      </c>
      <c r="O35" s="44">
        <v>0.99</v>
      </c>
      <c r="P35" s="39" t="s">
        <v>87</v>
      </c>
      <c r="Q35" s="39" t="s">
        <v>88</v>
      </c>
      <c r="R35" s="39" t="s">
        <v>89</v>
      </c>
      <c r="S35" s="40"/>
      <c r="T35" s="39" t="s">
        <v>90</v>
      </c>
      <c r="U35" s="45" t="s">
        <v>142</v>
      </c>
      <c r="V35" s="39" t="s">
        <v>77</v>
      </c>
      <c r="W35" s="40" t="s">
        <v>134</v>
      </c>
      <c r="X35" s="47" t="s">
        <v>93</v>
      </c>
      <c r="Y35" s="39" t="s">
        <v>94</v>
      </c>
      <c r="Z35" s="40"/>
      <c r="AA35" s="40"/>
      <c r="AB35" s="39"/>
      <c r="AC35" s="40"/>
      <c r="AD35" s="39" t="s">
        <v>124</v>
      </c>
      <c r="AE35" s="39" t="s">
        <v>96</v>
      </c>
      <c r="AF35" s="40"/>
      <c r="AG35" s="46"/>
      <c r="AH35" s="46"/>
      <c r="AI35" s="40"/>
    </row>
    <row r="36" spans="1:35">
      <c r="A36" s="40"/>
      <c r="B36" s="39" t="s">
        <v>77</v>
      </c>
      <c r="C36" s="39" t="s">
        <v>77</v>
      </c>
      <c r="D36" s="40"/>
      <c r="E36" s="39" t="s">
        <v>78</v>
      </c>
      <c r="F36" s="39" t="s">
        <v>79</v>
      </c>
      <c r="G36" s="41" t="s">
        <v>80</v>
      </c>
      <c r="H36" s="41" t="s">
        <v>81</v>
      </c>
      <c r="I36" s="40" t="str">
        <f t="shared" si="0"/>
        <v>Validate number of records not in (1950,...,2060) on Year - Last Friday of every Quarter</v>
      </c>
      <c r="J36" s="42" t="s">
        <v>151</v>
      </c>
      <c r="K36" s="42" t="s">
        <v>152</v>
      </c>
      <c r="L36" s="40" t="s">
        <v>153</v>
      </c>
      <c r="M36" s="43" t="s">
        <v>147</v>
      </c>
      <c r="N36" s="39" t="s">
        <v>132</v>
      </c>
      <c r="O36" s="44">
        <v>0.99</v>
      </c>
      <c r="P36" s="39" t="s">
        <v>87</v>
      </c>
      <c r="Q36" s="39" t="s">
        <v>88</v>
      </c>
      <c r="R36" s="39" t="s">
        <v>89</v>
      </c>
      <c r="S36" s="40"/>
      <c r="T36" s="39" t="s">
        <v>90</v>
      </c>
      <c r="U36" s="45" t="s">
        <v>142</v>
      </c>
      <c r="V36" s="39" t="s">
        <v>77</v>
      </c>
      <c r="W36" s="40" t="s">
        <v>134</v>
      </c>
      <c r="X36" s="47" t="s">
        <v>103</v>
      </c>
      <c r="Y36" s="39" t="s">
        <v>94</v>
      </c>
      <c r="Z36" s="40"/>
      <c r="AA36" s="40"/>
      <c r="AB36" s="39"/>
      <c r="AC36" s="40"/>
      <c r="AD36" s="39" t="s">
        <v>124</v>
      </c>
      <c r="AE36" s="39" t="s">
        <v>96</v>
      </c>
      <c r="AF36" s="40"/>
      <c r="AG36" s="46"/>
      <c r="AH36" s="46"/>
      <c r="AI36" s="40"/>
    </row>
    <row r="37" spans="1:35">
      <c r="A37" s="40"/>
      <c r="B37" s="39" t="s">
        <v>77</v>
      </c>
      <c r="C37" s="39" t="s">
        <v>77</v>
      </c>
      <c r="D37" s="40"/>
      <c r="E37" s="39" t="s">
        <v>78</v>
      </c>
      <c r="F37" s="39" t="s">
        <v>79</v>
      </c>
      <c r="G37" s="41" t="s">
        <v>80</v>
      </c>
      <c r="H37" s="41" t="s">
        <v>81</v>
      </c>
      <c r="I37" s="40" t="str">
        <f t="shared" si="0"/>
        <v>Validate the number of records not integer on Year - Last Friday of every Quarter</v>
      </c>
      <c r="J37" s="42" t="s">
        <v>154</v>
      </c>
      <c r="K37" s="42" t="s">
        <v>155</v>
      </c>
      <c r="L37" s="40" t="s">
        <v>156</v>
      </c>
      <c r="M37" s="43" t="s">
        <v>147</v>
      </c>
      <c r="N37" s="39" t="s">
        <v>132</v>
      </c>
      <c r="O37" s="44">
        <v>0.99</v>
      </c>
      <c r="P37" s="39" t="s">
        <v>87</v>
      </c>
      <c r="Q37" s="39" t="s">
        <v>88</v>
      </c>
      <c r="R37" s="39" t="s">
        <v>89</v>
      </c>
      <c r="S37" s="40"/>
      <c r="T37" s="39" t="s">
        <v>90</v>
      </c>
      <c r="U37" s="45" t="s">
        <v>142</v>
      </c>
      <c r="V37" s="39" t="s">
        <v>77</v>
      </c>
      <c r="W37" s="40" t="s">
        <v>134</v>
      </c>
      <c r="X37" s="47" t="s">
        <v>103</v>
      </c>
      <c r="Y37" s="39" t="s">
        <v>94</v>
      </c>
      <c r="Z37" s="40"/>
      <c r="AA37" s="40"/>
      <c r="AB37" s="39"/>
      <c r="AC37" s="40"/>
      <c r="AD37" s="39" t="s">
        <v>124</v>
      </c>
      <c r="AE37" s="39" t="s">
        <v>96</v>
      </c>
      <c r="AF37" s="40"/>
      <c r="AG37" s="46"/>
      <c r="AH37" s="46"/>
      <c r="AI37" s="40"/>
    </row>
    <row r="38" spans="1:35">
      <c r="A38" s="40"/>
      <c r="B38" s="39" t="s">
        <v>77</v>
      </c>
      <c r="C38" s="39" t="s">
        <v>77</v>
      </c>
      <c r="D38" s="40"/>
      <c r="E38" s="39" t="s">
        <v>78</v>
      </c>
      <c r="F38" s="39" t="s">
        <v>79</v>
      </c>
      <c r="G38" s="41" t="s">
        <v>80</v>
      </c>
      <c r="H38" s="41" t="s">
        <v>81</v>
      </c>
      <c r="I38" s="40" t="str">
        <f t="shared" si="0"/>
        <v>Validate number of records not in (Q01, Q02, Q03 or Q04) on Period - Last Friday of every Quarter</v>
      </c>
      <c r="J38" s="42" t="s">
        <v>157</v>
      </c>
      <c r="K38" s="42" t="s">
        <v>158</v>
      </c>
      <c r="L38" s="40" t="s">
        <v>159</v>
      </c>
      <c r="M38" s="43" t="s">
        <v>147</v>
      </c>
      <c r="N38" s="39" t="s">
        <v>132</v>
      </c>
      <c r="O38" s="44">
        <v>0.99</v>
      </c>
      <c r="P38" s="39" t="s">
        <v>87</v>
      </c>
      <c r="Q38" s="39" t="s">
        <v>88</v>
      </c>
      <c r="R38" s="39" t="s">
        <v>89</v>
      </c>
      <c r="S38" s="40"/>
      <c r="T38" s="39" t="s">
        <v>90</v>
      </c>
      <c r="U38" s="45" t="s">
        <v>142</v>
      </c>
      <c r="V38" s="39" t="s">
        <v>77</v>
      </c>
      <c r="W38" s="40" t="s">
        <v>134</v>
      </c>
      <c r="X38" s="47" t="s">
        <v>106</v>
      </c>
      <c r="Y38" s="39" t="s">
        <v>94</v>
      </c>
      <c r="Z38" s="40"/>
      <c r="AA38" s="40"/>
      <c r="AB38" s="39"/>
      <c r="AC38" s="40"/>
      <c r="AD38" s="39" t="s">
        <v>124</v>
      </c>
      <c r="AE38" s="39" t="s">
        <v>96</v>
      </c>
      <c r="AF38" s="40"/>
      <c r="AG38" s="46"/>
      <c r="AH38" s="46"/>
      <c r="AI38" s="40"/>
    </row>
    <row r="39" spans="1:35">
      <c r="A39" s="40"/>
      <c r="B39" s="39" t="s">
        <v>77</v>
      </c>
      <c r="C39" s="39" t="s">
        <v>77</v>
      </c>
      <c r="D39" s="40"/>
      <c r="E39" s="39" t="s">
        <v>78</v>
      </c>
      <c r="F39" s="39" t="s">
        <v>79</v>
      </c>
      <c r="G39" s="41" t="s">
        <v>80</v>
      </c>
      <c r="H39" s="41" t="s">
        <v>81</v>
      </c>
      <c r="I39" s="40" t="str">
        <f t="shared" si="0"/>
        <v>Validate the numer of records where Standard_Average_Price is null or blank on Standard_Average_Price - Last Friday of every Quarter</v>
      </c>
      <c r="J39" s="42" t="s">
        <v>109</v>
      </c>
      <c r="K39" s="42" t="s">
        <v>160</v>
      </c>
      <c r="L39" s="40" t="s">
        <v>161</v>
      </c>
      <c r="M39" s="43" t="s">
        <v>147</v>
      </c>
      <c r="N39" s="39" t="s">
        <v>132</v>
      </c>
      <c r="O39" s="44">
        <v>0.99</v>
      </c>
      <c r="P39" s="39" t="s">
        <v>87</v>
      </c>
      <c r="Q39" s="39" t="s">
        <v>88</v>
      </c>
      <c r="R39" s="39" t="s">
        <v>89</v>
      </c>
      <c r="S39" s="40"/>
      <c r="T39" s="39" t="s">
        <v>90</v>
      </c>
      <c r="U39" s="45" t="s">
        <v>142</v>
      </c>
      <c r="V39" s="39" t="s">
        <v>77</v>
      </c>
      <c r="W39" s="40" t="s">
        <v>134</v>
      </c>
      <c r="X39" s="47" t="s">
        <v>112</v>
      </c>
      <c r="Y39" s="39" t="s">
        <v>94</v>
      </c>
      <c r="Z39" s="40"/>
      <c r="AA39" s="40"/>
      <c r="AB39" s="39"/>
      <c r="AC39" s="40"/>
      <c r="AD39" s="39" t="s">
        <v>124</v>
      </c>
      <c r="AE39" s="39" t="s">
        <v>96</v>
      </c>
      <c r="AF39" s="40"/>
      <c r="AG39" s="46"/>
      <c r="AH39" s="46"/>
      <c r="AI39" s="40"/>
    </row>
    <row r="40" spans="1:35">
      <c r="A40" s="40"/>
      <c r="B40" s="39" t="s">
        <v>77</v>
      </c>
      <c r="C40" s="39" t="s">
        <v>77</v>
      </c>
      <c r="D40" s="40"/>
      <c r="E40" s="39" t="s">
        <v>78</v>
      </c>
      <c r="F40" s="39" t="s">
        <v>79</v>
      </c>
      <c r="G40" s="41" t="s">
        <v>80</v>
      </c>
      <c r="H40" s="41" t="s">
        <v>81</v>
      </c>
      <c r="I40" s="40" t="str">
        <f t="shared" si="0"/>
        <v>Validate the numer of records where Standard_Average_Price not between 10.000 and 3.000.001 on Standard_Average_Price - Last Friday of every Quarter</v>
      </c>
      <c r="J40" s="42" t="s">
        <v>162</v>
      </c>
      <c r="K40" s="42" t="s">
        <v>163</v>
      </c>
      <c r="L40" s="40" t="s">
        <v>164</v>
      </c>
      <c r="M40" s="43" t="s">
        <v>147</v>
      </c>
      <c r="N40" s="39" t="s">
        <v>132</v>
      </c>
      <c r="O40" s="44">
        <v>0.99</v>
      </c>
      <c r="P40" s="39" t="s">
        <v>87</v>
      </c>
      <c r="Q40" s="39" t="s">
        <v>88</v>
      </c>
      <c r="R40" s="39" t="s">
        <v>89</v>
      </c>
      <c r="S40" s="40"/>
      <c r="T40" s="39" t="s">
        <v>90</v>
      </c>
      <c r="U40" s="45" t="s">
        <v>142</v>
      </c>
      <c r="V40" s="39" t="s">
        <v>77</v>
      </c>
      <c r="W40" s="40" t="s">
        <v>134</v>
      </c>
      <c r="X40" s="47" t="s">
        <v>112</v>
      </c>
      <c r="Y40" s="39" t="s">
        <v>94</v>
      </c>
      <c r="Z40" s="40"/>
      <c r="AA40" s="40"/>
      <c r="AB40" s="39"/>
      <c r="AC40" s="40"/>
      <c r="AD40" s="39" t="s">
        <v>124</v>
      </c>
      <c r="AE40" s="39" t="s">
        <v>96</v>
      </c>
      <c r="AF40" s="40"/>
      <c r="AG40" s="46"/>
      <c r="AH40" s="46"/>
      <c r="AI40" s="40"/>
    </row>
    <row r="41" spans="1:35">
      <c r="A41" s="49"/>
      <c r="B41" s="48" t="s">
        <v>77</v>
      </c>
      <c r="C41" s="48" t="s">
        <v>77</v>
      </c>
      <c r="D41" s="49"/>
      <c r="E41" s="48" t="s">
        <v>78</v>
      </c>
      <c r="F41" s="48" t="s">
        <v>79</v>
      </c>
      <c r="G41" s="50" t="s">
        <v>80</v>
      </c>
      <c r="H41" s="50" t="s">
        <v>81</v>
      </c>
      <c r="I41" s="49" t="str">
        <f t="shared" si="0"/>
        <v>Validate the data ingested do not have null or blank records  on RegionIDDesc - Last Friday of every Year</v>
      </c>
      <c r="J41" s="51" t="s">
        <v>82</v>
      </c>
      <c r="K41" s="52" t="s">
        <v>110</v>
      </c>
      <c r="L41" s="49" t="s">
        <v>84</v>
      </c>
      <c r="M41" s="52" t="s">
        <v>85</v>
      </c>
      <c r="N41" s="48" t="s">
        <v>86</v>
      </c>
      <c r="O41" s="53">
        <v>0.99</v>
      </c>
      <c r="P41" s="48" t="s">
        <v>87</v>
      </c>
      <c r="Q41" s="48" t="s">
        <v>88</v>
      </c>
      <c r="R41" s="48" t="s">
        <v>89</v>
      </c>
      <c r="S41" s="49"/>
      <c r="T41" s="48" t="s">
        <v>90</v>
      </c>
      <c r="U41" s="54" t="s">
        <v>165</v>
      </c>
      <c r="V41" s="48" t="s">
        <v>77</v>
      </c>
      <c r="W41" s="49" t="s">
        <v>166</v>
      </c>
      <c r="X41" s="51" t="s">
        <v>93</v>
      </c>
      <c r="Y41" s="48" t="s">
        <v>94</v>
      </c>
      <c r="Z41" s="49"/>
      <c r="AA41" s="49"/>
      <c r="AB41" s="48"/>
      <c r="AC41" s="49"/>
      <c r="AD41" s="48" t="s">
        <v>95</v>
      </c>
      <c r="AE41" s="48" t="s">
        <v>96</v>
      </c>
      <c r="AF41" s="49"/>
      <c r="AG41" s="55"/>
      <c r="AH41" s="55"/>
      <c r="AI41" s="49"/>
    </row>
    <row r="42" spans="1:35">
      <c r="A42" s="49"/>
      <c r="B42" s="48" t="s">
        <v>77</v>
      </c>
      <c r="C42" s="48" t="s">
        <v>77</v>
      </c>
      <c r="D42" s="49"/>
      <c r="E42" s="48" t="s">
        <v>78</v>
      </c>
      <c r="F42" s="48" t="s">
        <v>79</v>
      </c>
      <c r="G42" s="50" t="s">
        <v>80</v>
      </c>
      <c r="H42" s="50" t="s">
        <v>81</v>
      </c>
      <c r="I42" s="49" t="str">
        <f t="shared" si="0"/>
        <v>Validate the data ingested do not have null or blank records  on Year - Last Friday of every Year</v>
      </c>
      <c r="J42" s="51" t="s">
        <v>101</v>
      </c>
      <c r="K42" s="52" t="s">
        <v>110</v>
      </c>
      <c r="L42" s="51" t="s">
        <v>102</v>
      </c>
      <c r="M42" s="52" t="s">
        <v>85</v>
      </c>
      <c r="N42" s="48" t="s">
        <v>86</v>
      </c>
      <c r="O42" s="53">
        <v>0.99</v>
      </c>
      <c r="P42" s="48" t="s">
        <v>87</v>
      </c>
      <c r="Q42" s="48" t="s">
        <v>88</v>
      </c>
      <c r="R42" s="48" t="s">
        <v>89</v>
      </c>
      <c r="S42" s="49"/>
      <c r="T42" s="48" t="s">
        <v>90</v>
      </c>
      <c r="U42" s="54" t="s">
        <v>165</v>
      </c>
      <c r="V42" s="48" t="s">
        <v>77</v>
      </c>
      <c r="W42" s="49" t="s">
        <v>166</v>
      </c>
      <c r="X42" s="51" t="s">
        <v>103</v>
      </c>
      <c r="Y42" s="48" t="s">
        <v>94</v>
      </c>
      <c r="Z42" s="49"/>
      <c r="AA42" s="49"/>
      <c r="AB42" s="48"/>
      <c r="AC42" s="49"/>
      <c r="AD42" s="48" t="s">
        <v>95</v>
      </c>
      <c r="AE42" s="48" t="s">
        <v>96</v>
      </c>
      <c r="AF42" s="49"/>
      <c r="AG42" s="55"/>
      <c r="AH42" s="55"/>
      <c r="AI42" s="49"/>
    </row>
    <row r="43" spans="1:35">
      <c r="A43" s="49"/>
      <c r="B43" s="48" t="s">
        <v>77</v>
      </c>
      <c r="C43" s="48" t="s">
        <v>77</v>
      </c>
      <c r="D43" s="49"/>
      <c r="E43" s="48" t="s">
        <v>78</v>
      </c>
      <c r="F43" s="48" t="s">
        <v>79</v>
      </c>
      <c r="G43" s="50" t="s">
        <v>80</v>
      </c>
      <c r="H43" s="50" t="s">
        <v>81</v>
      </c>
      <c r="I43" s="49" t="str">
        <f t="shared" si="0"/>
        <v>Validate the data ingested do not have null or blank records  on Period - Last Friday of every Year</v>
      </c>
      <c r="J43" s="51" t="s">
        <v>104</v>
      </c>
      <c r="K43" s="52" t="s">
        <v>110</v>
      </c>
      <c r="L43" s="51" t="s">
        <v>105</v>
      </c>
      <c r="M43" s="52" t="s">
        <v>85</v>
      </c>
      <c r="N43" s="48" t="s">
        <v>86</v>
      </c>
      <c r="O43" s="53">
        <v>0.99</v>
      </c>
      <c r="P43" s="48" t="s">
        <v>87</v>
      </c>
      <c r="Q43" s="48" t="s">
        <v>88</v>
      </c>
      <c r="R43" s="48" t="s">
        <v>89</v>
      </c>
      <c r="S43" s="49"/>
      <c r="T43" s="48" t="s">
        <v>90</v>
      </c>
      <c r="U43" s="54" t="s">
        <v>165</v>
      </c>
      <c r="V43" s="48" t="s">
        <v>77</v>
      </c>
      <c r="W43" s="49" t="s">
        <v>166</v>
      </c>
      <c r="X43" s="51" t="s">
        <v>106</v>
      </c>
      <c r="Y43" s="48" t="s">
        <v>94</v>
      </c>
      <c r="Z43" s="49"/>
      <c r="AA43" s="49"/>
      <c r="AB43" s="48"/>
      <c r="AC43" s="49"/>
      <c r="AD43" s="48" t="s">
        <v>95</v>
      </c>
      <c r="AE43" s="48" t="s">
        <v>96</v>
      </c>
      <c r="AF43" s="49"/>
      <c r="AG43" s="55"/>
      <c r="AH43" s="55"/>
      <c r="AI43" s="49"/>
    </row>
    <row r="44" spans="1:35">
      <c r="A44" s="49"/>
      <c r="B44" s="48" t="s">
        <v>77</v>
      </c>
      <c r="C44" s="48" t="s">
        <v>77</v>
      </c>
      <c r="D44" s="49"/>
      <c r="E44" s="48" t="s">
        <v>78</v>
      </c>
      <c r="F44" s="48" t="s">
        <v>79</v>
      </c>
      <c r="G44" s="50" t="s">
        <v>80</v>
      </c>
      <c r="H44" s="50" t="s">
        <v>81</v>
      </c>
      <c r="I44" s="49" t="str">
        <f t="shared" si="0"/>
        <v>Validate the records are within the accepted list of values on Period - Last Friday of every Year</v>
      </c>
      <c r="J44" s="51" t="s">
        <v>107</v>
      </c>
      <c r="K44" s="52" t="s">
        <v>98</v>
      </c>
      <c r="L44" s="51" t="s">
        <v>108</v>
      </c>
      <c r="M44" s="52" t="s">
        <v>100</v>
      </c>
      <c r="N44" s="48" t="s">
        <v>86</v>
      </c>
      <c r="O44" s="53">
        <v>0.99</v>
      </c>
      <c r="P44" s="48" t="s">
        <v>87</v>
      </c>
      <c r="Q44" s="48" t="s">
        <v>88</v>
      </c>
      <c r="R44" s="48" t="s">
        <v>89</v>
      </c>
      <c r="S44" s="49"/>
      <c r="T44" s="48" t="s">
        <v>90</v>
      </c>
      <c r="U44" s="54" t="s">
        <v>165</v>
      </c>
      <c r="V44" s="48" t="s">
        <v>77</v>
      </c>
      <c r="W44" s="49" t="s">
        <v>166</v>
      </c>
      <c r="X44" s="51" t="s">
        <v>106</v>
      </c>
      <c r="Y44" s="48" t="s">
        <v>94</v>
      </c>
      <c r="Z44" s="49"/>
      <c r="AA44" s="49"/>
      <c r="AB44" s="48"/>
      <c r="AC44" s="49"/>
      <c r="AD44" s="48" t="s">
        <v>95</v>
      </c>
      <c r="AE44" s="48" t="s">
        <v>96</v>
      </c>
      <c r="AF44" s="49"/>
      <c r="AG44" s="55"/>
      <c r="AH44" s="55"/>
      <c r="AI44" s="49"/>
    </row>
    <row r="45" spans="1:35">
      <c r="A45" s="49"/>
      <c r="B45" s="48" t="s">
        <v>77</v>
      </c>
      <c r="C45" s="48" t="s">
        <v>77</v>
      </c>
      <c r="D45" s="49"/>
      <c r="E45" s="48" t="s">
        <v>78</v>
      </c>
      <c r="F45" s="48" t="s">
        <v>79</v>
      </c>
      <c r="G45" s="50" t="s">
        <v>80</v>
      </c>
      <c r="H45" s="50" t="s">
        <v>81</v>
      </c>
      <c r="I45" s="49" t="str">
        <f t="shared" si="0"/>
        <v>Validate the data ingested do not have null or blank records  on Standard_Average_Price - Last Friday of every Year</v>
      </c>
      <c r="J45" s="51" t="s">
        <v>109</v>
      </c>
      <c r="K45" s="52" t="s">
        <v>110</v>
      </c>
      <c r="L45" s="51" t="s">
        <v>111</v>
      </c>
      <c r="M45" s="52" t="s">
        <v>85</v>
      </c>
      <c r="N45" s="48" t="s">
        <v>86</v>
      </c>
      <c r="O45" s="53">
        <v>0.99</v>
      </c>
      <c r="P45" s="48" t="s">
        <v>87</v>
      </c>
      <c r="Q45" s="48" t="s">
        <v>88</v>
      </c>
      <c r="R45" s="48" t="s">
        <v>89</v>
      </c>
      <c r="S45" s="49"/>
      <c r="T45" s="48" t="s">
        <v>90</v>
      </c>
      <c r="U45" s="54" t="s">
        <v>165</v>
      </c>
      <c r="V45" s="48" t="s">
        <v>77</v>
      </c>
      <c r="W45" s="49" t="s">
        <v>166</v>
      </c>
      <c r="X45" s="51" t="s">
        <v>112</v>
      </c>
      <c r="Y45" s="48" t="s">
        <v>94</v>
      </c>
      <c r="Z45" s="49"/>
      <c r="AA45" s="49"/>
      <c r="AB45" s="48"/>
      <c r="AC45" s="49"/>
      <c r="AD45" s="48" t="s">
        <v>95</v>
      </c>
      <c r="AE45" s="48" t="s">
        <v>96</v>
      </c>
      <c r="AF45" s="49"/>
      <c r="AG45" s="55"/>
      <c r="AH45" s="55"/>
      <c r="AI45" s="49"/>
    </row>
    <row r="46" spans="1:35">
      <c r="A46" s="49"/>
      <c r="B46" s="48" t="s">
        <v>77</v>
      </c>
      <c r="C46" s="48" t="s">
        <v>77</v>
      </c>
      <c r="D46" s="49"/>
      <c r="E46" s="48" t="s">
        <v>78</v>
      </c>
      <c r="F46" s="48" t="s">
        <v>79</v>
      </c>
      <c r="G46" s="50" t="s">
        <v>80</v>
      </c>
      <c r="H46" s="50" t="s">
        <v>81</v>
      </c>
      <c r="I46" s="49" t="str">
        <f t="shared" si="0"/>
        <v>Validate the data is within the acceptable range of values on Standard_Average_Price - Last Friday of every Year</v>
      </c>
      <c r="J46" s="51" t="s">
        <v>113</v>
      </c>
      <c r="K46" s="52" t="s">
        <v>114</v>
      </c>
      <c r="L46" s="51" t="s">
        <v>115</v>
      </c>
      <c r="M46" s="52" t="s">
        <v>116</v>
      </c>
      <c r="N46" s="48" t="s">
        <v>86</v>
      </c>
      <c r="O46" s="53">
        <v>0.99</v>
      </c>
      <c r="P46" s="48" t="s">
        <v>87</v>
      </c>
      <c r="Q46" s="48" t="s">
        <v>88</v>
      </c>
      <c r="R46" s="48" t="s">
        <v>89</v>
      </c>
      <c r="S46" s="49"/>
      <c r="T46" s="48" t="s">
        <v>90</v>
      </c>
      <c r="U46" s="54" t="s">
        <v>165</v>
      </c>
      <c r="V46" s="48" t="s">
        <v>77</v>
      </c>
      <c r="W46" s="49" t="s">
        <v>166</v>
      </c>
      <c r="X46" s="51" t="s">
        <v>112</v>
      </c>
      <c r="Y46" s="48" t="s">
        <v>94</v>
      </c>
      <c r="Z46" s="49"/>
      <c r="AA46" s="49"/>
      <c r="AB46" s="48"/>
      <c r="AC46" s="49"/>
      <c r="AD46" s="48" t="s">
        <v>95</v>
      </c>
      <c r="AE46" s="48" t="s">
        <v>96</v>
      </c>
      <c r="AF46" s="49"/>
      <c r="AG46" s="55"/>
      <c r="AH46" s="55"/>
      <c r="AI46" s="49"/>
    </row>
    <row r="47" spans="1:35">
      <c r="A47" s="49"/>
      <c r="B47" s="48" t="s">
        <v>77</v>
      </c>
      <c r="C47" s="48" t="s">
        <v>77</v>
      </c>
      <c r="D47" s="49"/>
      <c r="E47" s="48" t="s">
        <v>78</v>
      </c>
      <c r="F47" s="48" t="s">
        <v>79</v>
      </c>
      <c r="G47" s="50" t="s">
        <v>80</v>
      </c>
      <c r="H47" s="50" t="s">
        <v>81</v>
      </c>
      <c r="I47" s="49" t="str">
        <f t="shared" si="0"/>
        <v>Validate the data has been received on the correct day and is available for ingestion on FILE LEVEL - Last Friday of every Year</v>
      </c>
      <c r="J47" s="51" t="s">
        <v>167</v>
      </c>
      <c r="K47" s="52" t="s">
        <v>118</v>
      </c>
      <c r="L47" s="49" t="s">
        <v>119</v>
      </c>
      <c r="M47" s="52" t="s">
        <v>120</v>
      </c>
      <c r="N47" s="48" t="s">
        <v>86</v>
      </c>
      <c r="O47" s="53">
        <v>0.99</v>
      </c>
      <c r="P47" s="48" t="s">
        <v>87</v>
      </c>
      <c r="Q47" s="48" t="s">
        <v>88</v>
      </c>
      <c r="R47" s="48" t="s">
        <v>121</v>
      </c>
      <c r="S47" s="49"/>
      <c r="T47" s="48" t="s">
        <v>90</v>
      </c>
      <c r="U47" s="54" t="s">
        <v>165</v>
      </c>
      <c r="V47" s="48" t="s">
        <v>77</v>
      </c>
      <c r="W47" s="49" t="s">
        <v>166</v>
      </c>
      <c r="X47" s="56" t="s">
        <v>122</v>
      </c>
      <c r="Y47" s="48"/>
      <c r="Z47" s="49"/>
      <c r="AA47" s="49"/>
      <c r="AB47" s="48" t="s">
        <v>123</v>
      </c>
      <c r="AC47" s="49"/>
      <c r="AD47" s="48" t="s">
        <v>124</v>
      </c>
      <c r="AE47" s="48" t="s">
        <v>96</v>
      </c>
      <c r="AF47" s="49"/>
      <c r="AG47" s="55"/>
      <c r="AH47" s="55"/>
      <c r="AI47" s="49"/>
    </row>
    <row r="48" spans="1:35">
      <c r="B48" s="19"/>
      <c r="C48" s="19"/>
      <c r="E48" s="19"/>
      <c r="F48" s="19"/>
      <c r="H48" s="25"/>
      <c r="J48" s="16"/>
      <c r="N48" s="19"/>
      <c r="O48" s="21"/>
      <c r="P48" s="19"/>
      <c r="Q48" s="19"/>
      <c r="R48" s="19"/>
      <c r="X48" s="17"/>
    </row>
    <row r="49" spans="1:35">
      <c r="A49" s="49"/>
      <c r="B49" s="48" t="s">
        <v>77</v>
      </c>
      <c r="C49" s="48" t="s">
        <v>77</v>
      </c>
      <c r="D49" s="49"/>
      <c r="E49" s="48" t="s">
        <v>78</v>
      </c>
      <c r="F49" s="48" t="s">
        <v>79</v>
      </c>
      <c r="G49" s="50" t="s">
        <v>80</v>
      </c>
      <c r="H49" s="50" t="s">
        <v>81</v>
      </c>
      <c r="I49" s="49" t="str">
        <f t="shared" si="0"/>
        <v>Validate the number of records where RegionIDDesc is null or blank on RegionIDDesc - Last Friday of every Year</v>
      </c>
      <c r="J49" s="51" t="s">
        <v>82</v>
      </c>
      <c r="K49" s="51" t="s">
        <v>145</v>
      </c>
      <c r="L49" s="49" t="s">
        <v>146</v>
      </c>
      <c r="M49" s="52" t="s">
        <v>168</v>
      </c>
      <c r="N49" s="48" t="s">
        <v>86</v>
      </c>
      <c r="O49" s="53">
        <v>0.99</v>
      </c>
      <c r="P49" s="48" t="s">
        <v>87</v>
      </c>
      <c r="Q49" s="48" t="s">
        <v>88</v>
      </c>
      <c r="R49" s="48" t="s">
        <v>89</v>
      </c>
      <c r="S49" s="49"/>
      <c r="T49" s="48" t="s">
        <v>90</v>
      </c>
      <c r="U49" s="54" t="s">
        <v>165</v>
      </c>
      <c r="V49" s="48" t="s">
        <v>77</v>
      </c>
      <c r="W49" s="49" t="s">
        <v>166</v>
      </c>
      <c r="X49" s="56" t="s">
        <v>93</v>
      </c>
      <c r="Y49" s="48" t="s">
        <v>94</v>
      </c>
      <c r="Z49" s="49"/>
      <c r="AA49" s="49"/>
      <c r="AB49" s="48"/>
      <c r="AC49" s="49"/>
      <c r="AD49" s="48" t="s">
        <v>124</v>
      </c>
      <c r="AE49" s="48" t="s">
        <v>96</v>
      </c>
      <c r="AF49" s="49"/>
      <c r="AG49" s="55"/>
      <c r="AH49" s="55"/>
      <c r="AI49" s="49"/>
    </row>
    <row r="50" spans="1:35">
      <c r="A50" s="49"/>
      <c r="B50" s="48" t="s">
        <v>77</v>
      </c>
      <c r="C50" s="48" t="s">
        <v>77</v>
      </c>
      <c r="D50" s="49"/>
      <c r="E50" s="48" t="s">
        <v>78</v>
      </c>
      <c r="F50" s="48" t="s">
        <v>79</v>
      </c>
      <c r="G50" s="50" t="s">
        <v>80</v>
      </c>
      <c r="H50" s="50" t="s">
        <v>81</v>
      </c>
      <c r="I50" s="49" t="str">
        <f t="shared" si="0"/>
        <v>Validate the number of records where RegionIDDesc not in valid list of values ('East Anglia','East Midlands','Greater London','North West','North','Nthn Ireland','Scotland','South East','South West','Wales','West Midlands','Yorkshire &amp; Humberside','Total') on RegionIDDesc - Last Friday of every Year</v>
      </c>
      <c r="J50" s="51" t="s">
        <v>148</v>
      </c>
      <c r="K50" s="51" t="s">
        <v>149</v>
      </c>
      <c r="L50" s="49" t="s">
        <v>150</v>
      </c>
      <c r="M50" s="52" t="s">
        <v>168</v>
      </c>
      <c r="N50" s="48" t="s">
        <v>86</v>
      </c>
      <c r="O50" s="53">
        <v>0.99</v>
      </c>
      <c r="P50" s="48" t="s">
        <v>87</v>
      </c>
      <c r="Q50" s="48" t="s">
        <v>88</v>
      </c>
      <c r="R50" s="48" t="s">
        <v>89</v>
      </c>
      <c r="S50" s="49"/>
      <c r="T50" s="48" t="s">
        <v>90</v>
      </c>
      <c r="U50" s="54" t="s">
        <v>165</v>
      </c>
      <c r="V50" s="48" t="s">
        <v>77</v>
      </c>
      <c r="W50" s="49" t="s">
        <v>166</v>
      </c>
      <c r="X50" s="56" t="s">
        <v>93</v>
      </c>
      <c r="Y50" s="48" t="s">
        <v>94</v>
      </c>
      <c r="Z50" s="49"/>
      <c r="AA50" s="49"/>
      <c r="AB50" s="48"/>
      <c r="AC50" s="49"/>
      <c r="AD50" s="48" t="s">
        <v>124</v>
      </c>
      <c r="AE50" s="48" t="s">
        <v>96</v>
      </c>
      <c r="AF50" s="49"/>
      <c r="AG50" s="55"/>
      <c r="AH50" s="55"/>
      <c r="AI50" s="49"/>
    </row>
    <row r="51" spans="1:35">
      <c r="A51" s="49"/>
      <c r="B51" s="48" t="s">
        <v>77</v>
      </c>
      <c r="C51" s="48" t="s">
        <v>77</v>
      </c>
      <c r="D51" s="49"/>
      <c r="E51" s="48" t="s">
        <v>78</v>
      </c>
      <c r="F51" s="48" t="s">
        <v>79</v>
      </c>
      <c r="G51" s="50" t="s">
        <v>80</v>
      </c>
      <c r="H51" s="50" t="s">
        <v>81</v>
      </c>
      <c r="I51" s="49" t="str">
        <f t="shared" si="0"/>
        <v>Validate number of records not in (1950,...,2060) on Year - Last Friday of every Year</v>
      </c>
      <c r="J51" s="51" t="s">
        <v>151</v>
      </c>
      <c r="K51" s="51" t="s">
        <v>152</v>
      </c>
      <c r="L51" s="49" t="s">
        <v>153</v>
      </c>
      <c r="M51" s="52" t="s">
        <v>168</v>
      </c>
      <c r="N51" s="48" t="s">
        <v>86</v>
      </c>
      <c r="O51" s="53">
        <v>0.99</v>
      </c>
      <c r="P51" s="48" t="s">
        <v>87</v>
      </c>
      <c r="Q51" s="48" t="s">
        <v>88</v>
      </c>
      <c r="R51" s="48" t="s">
        <v>89</v>
      </c>
      <c r="S51" s="49"/>
      <c r="T51" s="48" t="s">
        <v>90</v>
      </c>
      <c r="U51" s="54" t="s">
        <v>165</v>
      </c>
      <c r="V51" s="48" t="s">
        <v>77</v>
      </c>
      <c r="W51" s="49" t="s">
        <v>166</v>
      </c>
      <c r="X51" s="56" t="s">
        <v>103</v>
      </c>
      <c r="Y51" s="48" t="s">
        <v>94</v>
      </c>
      <c r="Z51" s="49"/>
      <c r="AA51" s="49"/>
      <c r="AB51" s="48"/>
      <c r="AC51" s="49"/>
      <c r="AD51" s="48" t="s">
        <v>124</v>
      </c>
      <c r="AE51" s="48" t="s">
        <v>96</v>
      </c>
      <c r="AF51" s="49"/>
      <c r="AG51" s="55"/>
      <c r="AH51" s="55"/>
      <c r="AI51" s="49"/>
    </row>
    <row r="52" spans="1:35">
      <c r="A52" s="49"/>
      <c r="B52" s="48" t="s">
        <v>77</v>
      </c>
      <c r="C52" s="48" t="s">
        <v>77</v>
      </c>
      <c r="D52" s="49"/>
      <c r="E52" s="48" t="s">
        <v>78</v>
      </c>
      <c r="F52" s="48" t="s">
        <v>79</v>
      </c>
      <c r="G52" s="50" t="s">
        <v>80</v>
      </c>
      <c r="H52" s="50" t="s">
        <v>81</v>
      </c>
      <c r="I52" s="49" t="str">
        <f t="shared" si="0"/>
        <v>Validate the number of records not integer on Year - Last Friday of every Year</v>
      </c>
      <c r="J52" s="51" t="s">
        <v>154</v>
      </c>
      <c r="K52" s="51" t="s">
        <v>155</v>
      </c>
      <c r="L52" s="49" t="s">
        <v>156</v>
      </c>
      <c r="M52" s="52" t="s">
        <v>168</v>
      </c>
      <c r="N52" s="48" t="s">
        <v>86</v>
      </c>
      <c r="O52" s="53">
        <v>0.99</v>
      </c>
      <c r="P52" s="48" t="s">
        <v>87</v>
      </c>
      <c r="Q52" s="48" t="s">
        <v>88</v>
      </c>
      <c r="R52" s="48" t="s">
        <v>89</v>
      </c>
      <c r="S52" s="49"/>
      <c r="T52" s="48" t="s">
        <v>90</v>
      </c>
      <c r="U52" s="54" t="s">
        <v>165</v>
      </c>
      <c r="V52" s="48" t="s">
        <v>77</v>
      </c>
      <c r="W52" s="49" t="s">
        <v>166</v>
      </c>
      <c r="X52" s="56" t="s">
        <v>103</v>
      </c>
      <c r="Y52" s="48" t="s">
        <v>94</v>
      </c>
      <c r="Z52" s="49"/>
      <c r="AA52" s="49"/>
      <c r="AB52" s="48"/>
      <c r="AC52" s="49"/>
      <c r="AD52" s="48" t="s">
        <v>124</v>
      </c>
      <c r="AE52" s="48" t="s">
        <v>96</v>
      </c>
      <c r="AF52" s="49"/>
      <c r="AG52" s="55"/>
      <c r="AH52" s="55"/>
      <c r="AI52" s="49"/>
    </row>
    <row r="53" spans="1:35">
      <c r="A53" s="49"/>
      <c r="B53" s="48" t="s">
        <v>77</v>
      </c>
      <c r="C53" s="48" t="s">
        <v>77</v>
      </c>
      <c r="D53" s="49"/>
      <c r="E53" s="48" t="s">
        <v>78</v>
      </c>
      <c r="F53" s="48" t="s">
        <v>79</v>
      </c>
      <c r="G53" s="50" t="s">
        <v>80</v>
      </c>
      <c r="H53" s="50" t="s">
        <v>81</v>
      </c>
      <c r="I53" s="49" t="str">
        <f t="shared" si="0"/>
        <v>Validate number of records not in (A01) on Period - Last Friday of every Year</v>
      </c>
      <c r="J53" s="51" t="s">
        <v>169</v>
      </c>
      <c r="K53" s="51" t="s">
        <v>170</v>
      </c>
      <c r="L53" s="49" t="s">
        <v>171</v>
      </c>
      <c r="M53" s="52" t="s">
        <v>168</v>
      </c>
      <c r="N53" s="48" t="s">
        <v>86</v>
      </c>
      <c r="O53" s="53">
        <v>0.99</v>
      </c>
      <c r="P53" s="48" t="s">
        <v>87</v>
      </c>
      <c r="Q53" s="48" t="s">
        <v>88</v>
      </c>
      <c r="R53" s="48" t="s">
        <v>89</v>
      </c>
      <c r="S53" s="49"/>
      <c r="T53" s="48" t="s">
        <v>90</v>
      </c>
      <c r="U53" s="54" t="s">
        <v>165</v>
      </c>
      <c r="V53" s="48" t="s">
        <v>77</v>
      </c>
      <c r="W53" s="49" t="s">
        <v>166</v>
      </c>
      <c r="X53" s="56" t="s">
        <v>106</v>
      </c>
      <c r="Y53" s="48" t="s">
        <v>94</v>
      </c>
      <c r="Z53" s="49"/>
      <c r="AA53" s="49"/>
      <c r="AB53" s="48"/>
      <c r="AC53" s="49"/>
      <c r="AD53" s="48" t="s">
        <v>124</v>
      </c>
      <c r="AE53" s="48" t="s">
        <v>96</v>
      </c>
      <c r="AF53" s="49"/>
      <c r="AG53" s="55"/>
      <c r="AH53" s="55"/>
      <c r="AI53" s="49"/>
    </row>
    <row r="54" spans="1:35">
      <c r="A54" s="49"/>
      <c r="B54" s="48" t="s">
        <v>77</v>
      </c>
      <c r="C54" s="48" t="s">
        <v>77</v>
      </c>
      <c r="D54" s="49"/>
      <c r="E54" s="48" t="s">
        <v>78</v>
      </c>
      <c r="F54" s="48" t="s">
        <v>79</v>
      </c>
      <c r="G54" s="50" t="s">
        <v>80</v>
      </c>
      <c r="H54" s="50" t="s">
        <v>81</v>
      </c>
      <c r="I54" s="49" t="str">
        <f t="shared" si="0"/>
        <v>Validate the numer of records where Standard_Average_Price is null or blank on Standard_Average_Price - Last Friday of every Year</v>
      </c>
      <c r="J54" s="51" t="s">
        <v>109</v>
      </c>
      <c r="K54" s="51" t="s">
        <v>160</v>
      </c>
      <c r="L54" s="49" t="s">
        <v>161</v>
      </c>
      <c r="M54" s="52" t="s">
        <v>168</v>
      </c>
      <c r="N54" s="48" t="s">
        <v>86</v>
      </c>
      <c r="O54" s="53">
        <v>0.99</v>
      </c>
      <c r="P54" s="48" t="s">
        <v>87</v>
      </c>
      <c r="Q54" s="48" t="s">
        <v>88</v>
      </c>
      <c r="R54" s="48" t="s">
        <v>89</v>
      </c>
      <c r="S54" s="49"/>
      <c r="T54" s="48" t="s">
        <v>90</v>
      </c>
      <c r="U54" s="54" t="s">
        <v>165</v>
      </c>
      <c r="V54" s="48" t="s">
        <v>77</v>
      </c>
      <c r="W54" s="49" t="s">
        <v>166</v>
      </c>
      <c r="X54" s="56" t="s">
        <v>112</v>
      </c>
      <c r="Y54" s="48" t="s">
        <v>94</v>
      </c>
      <c r="Z54" s="49"/>
      <c r="AA54" s="49"/>
      <c r="AB54" s="48"/>
      <c r="AC54" s="49"/>
      <c r="AD54" s="48" t="s">
        <v>124</v>
      </c>
      <c r="AE54" s="48" t="s">
        <v>96</v>
      </c>
      <c r="AF54" s="49"/>
      <c r="AG54" s="55"/>
      <c r="AH54" s="55"/>
      <c r="AI54" s="49"/>
    </row>
    <row r="55" spans="1:35">
      <c r="A55" s="49"/>
      <c r="B55" s="48" t="s">
        <v>77</v>
      </c>
      <c r="C55" s="48" t="s">
        <v>77</v>
      </c>
      <c r="D55" s="49"/>
      <c r="E55" s="48" t="s">
        <v>78</v>
      </c>
      <c r="F55" s="48" t="s">
        <v>79</v>
      </c>
      <c r="G55" s="50" t="s">
        <v>80</v>
      </c>
      <c r="H55" s="50" t="s">
        <v>81</v>
      </c>
      <c r="I55" s="49" t="str">
        <f t="shared" si="0"/>
        <v>Validate the numer of records where Standard_Average_Price not between 10.000 and 3.000.000 on Standard_Average_Price - Last Friday of every Year</v>
      </c>
      <c r="J55" s="51" t="s">
        <v>162</v>
      </c>
      <c r="K55" s="51" t="s">
        <v>172</v>
      </c>
      <c r="L55" s="49" t="s">
        <v>164</v>
      </c>
      <c r="M55" s="52" t="s">
        <v>168</v>
      </c>
      <c r="N55" s="48" t="s">
        <v>86</v>
      </c>
      <c r="O55" s="53">
        <v>0.99</v>
      </c>
      <c r="P55" s="48" t="s">
        <v>87</v>
      </c>
      <c r="Q55" s="48" t="s">
        <v>88</v>
      </c>
      <c r="R55" s="48" t="s">
        <v>89</v>
      </c>
      <c r="S55" s="49"/>
      <c r="T55" s="48" t="s">
        <v>90</v>
      </c>
      <c r="U55" s="54" t="s">
        <v>165</v>
      </c>
      <c r="V55" s="48" t="s">
        <v>77</v>
      </c>
      <c r="W55" s="49" t="s">
        <v>166</v>
      </c>
      <c r="X55" s="56" t="s">
        <v>112</v>
      </c>
      <c r="Y55" s="48" t="s">
        <v>94</v>
      </c>
      <c r="Z55" s="49"/>
      <c r="AA55" s="49"/>
      <c r="AB55" s="48"/>
      <c r="AC55" s="49"/>
      <c r="AD55" s="48" t="s">
        <v>124</v>
      </c>
      <c r="AE55" s="48" t="s">
        <v>96</v>
      </c>
      <c r="AF55" s="49"/>
      <c r="AG55" s="55"/>
      <c r="AH55" s="55"/>
      <c r="AI55" s="49"/>
    </row>
    <row r="56" spans="1:35">
      <c r="A56" s="30"/>
      <c r="B56" s="31" t="s">
        <v>77</v>
      </c>
      <c r="C56" s="31" t="s">
        <v>77</v>
      </c>
      <c r="D56" s="30"/>
      <c r="E56" s="31" t="s">
        <v>78</v>
      </c>
      <c r="F56" s="31" t="s">
        <v>79</v>
      </c>
      <c r="G56" s="32" t="s">
        <v>80</v>
      </c>
      <c r="H56" s="32" t="s">
        <v>81</v>
      </c>
      <c r="I56" s="30" t="str">
        <f t="shared" si="0"/>
        <v>Validate the data ingested do not have null or blank records  on RegionIDDesc - Last Friday of every Quarter</v>
      </c>
      <c r="J56" s="37" t="s">
        <v>82</v>
      </c>
      <c r="K56" s="33" t="s">
        <v>110</v>
      </c>
      <c r="L56" s="30" t="s">
        <v>84</v>
      </c>
      <c r="M56" s="33" t="s">
        <v>85</v>
      </c>
      <c r="N56" s="31" t="s">
        <v>132</v>
      </c>
      <c r="O56" s="34">
        <v>0.99</v>
      </c>
      <c r="P56" s="31" t="s">
        <v>87</v>
      </c>
      <c r="Q56" s="31" t="s">
        <v>88</v>
      </c>
      <c r="R56" s="31" t="s">
        <v>89</v>
      </c>
      <c r="S56" s="30"/>
      <c r="T56" s="31" t="s">
        <v>90</v>
      </c>
      <c r="U56" s="35" t="s">
        <v>173</v>
      </c>
      <c r="V56" s="31" t="s">
        <v>77</v>
      </c>
      <c r="W56" s="30" t="s">
        <v>174</v>
      </c>
      <c r="X56" s="37" t="s">
        <v>93</v>
      </c>
      <c r="Y56" s="31" t="s">
        <v>94</v>
      </c>
      <c r="Z56" s="30"/>
      <c r="AA56" s="30"/>
      <c r="AB56" s="31"/>
      <c r="AC56" s="30"/>
      <c r="AD56" s="31" t="s">
        <v>95</v>
      </c>
      <c r="AE56" s="31" t="s">
        <v>96</v>
      </c>
      <c r="AF56" s="30"/>
      <c r="AG56" s="36"/>
      <c r="AH56" s="36"/>
      <c r="AI56" s="30"/>
    </row>
    <row r="57" spans="1:35">
      <c r="A57" s="30"/>
      <c r="B57" s="31" t="s">
        <v>77</v>
      </c>
      <c r="C57" s="31" t="s">
        <v>77</v>
      </c>
      <c r="D57" s="30"/>
      <c r="E57" s="31" t="s">
        <v>78</v>
      </c>
      <c r="F57" s="31" t="s">
        <v>79</v>
      </c>
      <c r="G57" s="32" t="s">
        <v>80</v>
      </c>
      <c r="H57" s="32" t="s">
        <v>81</v>
      </c>
      <c r="I57" s="30" t="str">
        <f t="shared" si="0"/>
        <v>Validate the records are within the accepted list of values on RegionIDDesc - Last Friday of every Quarter</v>
      </c>
      <c r="J57" s="37" t="s">
        <v>97</v>
      </c>
      <c r="K57" s="33" t="s">
        <v>98</v>
      </c>
      <c r="L57" s="30" t="s">
        <v>99</v>
      </c>
      <c r="M57" s="33" t="s">
        <v>100</v>
      </c>
      <c r="N57" s="31" t="s">
        <v>132</v>
      </c>
      <c r="O57" s="34">
        <v>0.99</v>
      </c>
      <c r="P57" s="31" t="s">
        <v>87</v>
      </c>
      <c r="Q57" s="31" t="s">
        <v>88</v>
      </c>
      <c r="R57" s="31" t="s">
        <v>89</v>
      </c>
      <c r="S57" s="30"/>
      <c r="T57" s="31" t="s">
        <v>90</v>
      </c>
      <c r="U57" s="35" t="s">
        <v>173</v>
      </c>
      <c r="V57" s="31" t="s">
        <v>77</v>
      </c>
      <c r="W57" s="30" t="s">
        <v>174</v>
      </c>
      <c r="X57" s="37" t="s">
        <v>93</v>
      </c>
      <c r="Y57" s="31" t="s">
        <v>94</v>
      </c>
      <c r="Z57" s="30"/>
      <c r="AA57" s="30"/>
      <c r="AB57" s="31"/>
      <c r="AC57" s="30"/>
      <c r="AD57" s="31" t="s">
        <v>95</v>
      </c>
      <c r="AE57" s="31" t="s">
        <v>96</v>
      </c>
      <c r="AF57" s="30"/>
      <c r="AG57" s="36"/>
      <c r="AH57" s="36"/>
      <c r="AI57" s="30"/>
    </row>
    <row r="58" spans="1:35">
      <c r="A58" s="30"/>
      <c r="B58" s="31" t="s">
        <v>77</v>
      </c>
      <c r="C58" s="31" t="s">
        <v>77</v>
      </c>
      <c r="D58" s="30"/>
      <c r="E58" s="31" t="s">
        <v>78</v>
      </c>
      <c r="F58" s="31" t="s">
        <v>79</v>
      </c>
      <c r="G58" s="32" t="s">
        <v>80</v>
      </c>
      <c r="H58" s="32" t="s">
        <v>81</v>
      </c>
      <c r="I58" s="30" t="str">
        <f t="shared" si="0"/>
        <v>Validate the data ingested do not have null or blank records  on Year - Last Friday of every Quarter</v>
      </c>
      <c r="J58" s="37" t="s">
        <v>101</v>
      </c>
      <c r="K58" s="33" t="s">
        <v>110</v>
      </c>
      <c r="L58" s="37" t="s">
        <v>102</v>
      </c>
      <c r="M58" s="33" t="s">
        <v>85</v>
      </c>
      <c r="N58" s="31" t="s">
        <v>132</v>
      </c>
      <c r="O58" s="34">
        <v>0.99</v>
      </c>
      <c r="P58" s="31" t="s">
        <v>87</v>
      </c>
      <c r="Q58" s="31" t="s">
        <v>88</v>
      </c>
      <c r="R58" s="31" t="s">
        <v>89</v>
      </c>
      <c r="S58" s="30"/>
      <c r="T58" s="31" t="s">
        <v>90</v>
      </c>
      <c r="U58" s="35" t="s">
        <v>173</v>
      </c>
      <c r="V58" s="31" t="s">
        <v>77</v>
      </c>
      <c r="W58" s="30" t="s">
        <v>174</v>
      </c>
      <c r="X58" s="37" t="s">
        <v>103</v>
      </c>
      <c r="Y58" s="31" t="s">
        <v>94</v>
      </c>
      <c r="Z58" s="30"/>
      <c r="AA58" s="30"/>
      <c r="AB58" s="31"/>
      <c r="AC58" s="30"/>
      <c r="AD58" s="31" t="s">
        <v>95</v>
      </c>
      <c r="AE58" s="31" t="s">
        <v>96</v>
      </c>
      <c r="AF58" s="30"/>
      <c r="AG58" s="36"/>
      <c r="AH58" s="36"/>
      <c r="AI58" s="30"/>
    </row>
    <row r="59" spans="1:35">
      <c r="A59" s="30"/>
      <c r="B59" s="31" t="s">
        <v>77</v>
      </c>
      <c r="C59" s="31" t="s">
        <v>77</v>
      </c>
      <c r="D59" s="30"/>
      <c r="E59" s="31" t="s">
        <v>78</v>
      </c>
      <c r="F59" s="31" t="s">
        <v>79</v>
      </c>
      <c r="G59" s="32" t="s">
        <v>80</v>
      </c>
      <c r="H59" s="32" t="s">
        <v>81</v>
      </c>
      <c r="I59" s="30" t="str">
        <f t="shared" si="0"/>
        <v>Validate the data ingested do not have null or blank records  on Period - Last Friday of every Quarter</v>
      </c>
      <c r="J59" s="37" t="s">
        <v>104</v>
      </c>
      <c r="K59" s="33" t="s">
        <v>110</v>
      </c>
      <c r="L59" s="37" t="s">
        <v>105</v>
      </c>
      <c r="M59" s="33" t="s">
        <v>85</v>
      </c>
      <c r="N59" s="31" t="s">
        <v>132</v>
      </c>
      <c r="O59" s="34">
        <v>0.99</v>
      </c>
      <c r="P59" s="31" t="s">
        <v>87</v>
      </c>
      <c r="Q59" s="31" t="s">
        <v>88</v>
      </c>
      <c r="R59" s="31" t="s">
        <v>89</v>
      </c>
      <c r="S59" s="30"/>
      <c r="T59" s="31" t="s">
        <v>90</v>
      </c>
      <c r="U59" s="35" t="s">
        <v>173</v>
      </c>
      <c r="V59" s="31" t="s">
        <v>77</v>
      </c>
      <c r="W59" s="30" t="s">
        <v>174</v>
      </c>
      <c r="X59" s="37" t="s">
        <v>106</v>
      </c>
      <c r="Y59" s="31" t="s">
        <v>94</v>
      </c>
      <c r="Z59" s="30"/>
      <c r="AA59" s="30"/>
      <c r="AB59" s="31"/>
      <c r="AC59" s="30"/>
      <c r="AD59" s="31" t="s">
        <v>95</v>
      </c>
      <c r="AE59" s="31" t="s">
        <v>96</v>
      </c>
      <c r="AF59" s="30"/>
      <c r="AG59" s="36"/>
      <c r="AH59" s="36"/>
      <c r="AI59" s="30"/>
    </row>
    <row r="60" spans="1:35">
      <c r="A60" s="30"/>
      <c r="B60" s="31" t="s">
        <v>77</v>
      </c>
      <c r="C60" s="31" t="s">
        <v>77</v>
      </c>
      <c r="D60" s="30"/>
      <c r="E60" s="31" t="s">
        <v>78</v>
      </c>
      <c r="F60" s="31" t="s">
        <v>79</v>
      </c>
      <c r="G60" s="32" t="s">
        <v>80</v>
      </c>
      <c r="H60" s="32" t="s">
        <v>81</v>
      </c>
      <c r="I60" s="30" t="str">
        <f t="shared" si="0"/>
        <v>Validate the records are within the accepted list of values on Period - Last Friday of every Quarter</v>
      </c>
      <c r="J60" s="37" t="s">
        <v>143</v>
      </c>
      <c r="K60" s="33" t="s">
        <v>98</v>
      </c>
      <c r="L60" s="37" t="s">
        <v>144</v>
      </c>
      <c r="M60" s="33" t="s">
        <v>100</v>
      </c>
      <c r="N60" s="31" t="s">
        <v>132</v>
      </c>
      <c r="O60" s="34">
        <v>0.99</v>
      </c>
      <c r="P60" s="31" t="s">
        <v>87</v>
      </c>
      <c r="Q60" s="31" t="s">
        <v>88</v>
      </c>
      <c r="R60" s="31" t="s">
        <v>89</v>
      </c>
      <c r="S60" s="30"/>
      <c r="T60" s="31" t="s">
        <v>90</v>
      </c>
      <c r="U60" s="35" t="s">
        <v>173</v>
      </c>
      <c r="V60" s="31" t="s">
        <v>77</v>
      </c>
      <c r="W60" s="30" t="s">
        <v>174</v>
      </c>
      <c r="X60" s="37" t="s">
        <v>106</v>
      </c>
      <c r="Y60" s="31" t="s">
        <v>94</v>
      </c>
      <c r="Z60" s="30"/>
      <c r="AA60" s="30"/>
      <c r="AB60" s="31"/>
      <c r="AC60" s="30"/>
      <c r="AD60" s="31" t="s">
        <v>95</v>
      </c>
      <c r="AE60" s="31" t="s">
        <v>96</v>
      </c>
      <c r="AF60" s="30"/>
      <c r="AG60" s="36"/>
      <c r="AH60" s="36"/>
      <c r="AI60" s="30"/>
    </row>
    <row r="61" spans="1:35">
      <c r="A61" s="30"/>
      <c r="B61" s="31" t="s">
        <v>77</v>
      </c>
      <c r="C61" s="31" t="s">
        <v>77</v>
      </c>
      <c r="D61" s="30"/>
      <c r="E61" s="31" t="s">
        <v>78</v>
      </c>
      <c r="F61" s="31" t="s">
        <v>79</v>
      </c>
      <c r="G61" s="32" t="s">
        <v>80</v>
      </c>
      <c r="H61" s="32" t="s">
        <v>81</v>
      </c>
      <c r="I61" s="30" t="str">
        <f t="shared" si="0"/>
        <v>Validate the data ingested do not have null or blank records  on Standard_Average_Price - Last Friday of every Quarter</v>
      </c>
      <c r="J61" s="37" t="s">
        <v>109</v>
      </c>
      <c r="K61" s="33" t="s">
        <v>110</v>
      </c>
      <c r="L61" s="37" t="s">
        <v>111</v>
      </c>
      <c r="M61" s="33" t="s">
        <v>85</v>
      </c>
      <c r="N61" s="31" t="s">
        <v>132</v>
      </c>
      <c r="O61" s="34">
        <v>0.99</v>
      </c>
      <c r="P61" s="31" t="s">
        <v>87</v>
      </c>
      <c r="Q61" s="31" t="s">
        <v>88</v>
      </c>
      <c r="R61" s="31" t="s">
        <v>89</v>
      </c>
      <c r="S61" s="30"/>
      <c r="T61" s="31" t="s">
        <v>90</v>
      </c>
      <c r="U61" s="35" t="s">
        <v>173</v>
      </c>
      <c r="V61" s="31" t="s">
        <v>77</v>
      </c>
      <c r="W61" s="30" t="s">
        <v>174</v>
      </c>
      <c r="X61" s="37" t="s">
        <v>112</v>
      </c>
      <c r="Y61" s="31" t="s">
        <v>94</v>
      </c>
      <c r="Z61" s="30"/>
      <c r="AA61" s="30"/>
      <c r="AB61" s="31"/>
      <c r="AC61" s="30"/>
      <c r="AD61" s="31" t="s">
        <v>95</v>
      </c>
      <c r="AE61" s="31" t="s">
        <v>96</v>
      </c>
      <c r="AF61" s="30"/>
      <c r="AG61" s="36"/>
      <c r="AH61" s="36"/>
      <c r="AI61" s="30"/>
    </row>
    <row r="62" spans="1:35">
      <c r="A62" s="30"/>
      <c r="B62" s="31" t="s">
        <v>77</v>
      </c>
      <c r="C62" s="31" t="s">
        <v>77</v>
      </c>
      <c r="D62" s="30"/>
      <c r="E62" s="31" t="s">
        <v>78</v>
      </c>
      <c r="F62" s="31" t="s">
        <v>79</v>
      </c>
      <c r="G62" s="32" t="s">
        <v>80</v>
      </c>
      <c r="H62" s="32" t="s">
        <v>81</v>
      </c>
      <c r="I62" s="30" t="str">
        <f t="shared" si="0"/>
        <v>Validate the data is within the acceptable range of values on Standard_Average_Price - Last Friday of every Quarter</v>
      </c>
      <c r="J62" s="37" t="s">
        <v>113</v>
      </c>
      <c r="K62" s="33" t="s">
        <v>114</v>
      </c>
      <c r="L62" s="37" t="s">
        <v>115</v>
      </c>
      <c r="M62" s="33" t="s">
        <v>116</v>
      </c>
      <c r="N62" s="31" t="s">
        <v>132</v>
      </c>
      <c r="O62" s="34">
        <v>0.99</v>
      </c>
      <c r="P62" s="31" t="s">
        <v>87</v>
      </c>
      <c r="Q62" s="31" t="s">
        <v>88</v>
      </c>
      <c r="R62" s="31" t="s">
        <v>89</v>
      </c>
      <c r="S62" s="30"/>
      <c r="T62" s="31" t="s">
        <v>90</v>
      </c>
      <c r="U62" s="35" t="s">
        <v>173</v>
      </c>
      <c r="V62" s="31" t="s">
        <v>77</v>
      </c>
      <c r="W62" s="30" t="s">
        <v>174</v>
      </c>
      <c r="X62" s="37" t="s">
        <v>112</v>
      </c>
      <c r="Y62" s="31" t="s">
        <v>94</v>
      </c>
      <c r="Z62" s="30"/>
      <c r="AA62" s="30"/>
      <c r="AB62" s="31"/>
      <c r="AC62" s="30"/>
      <c r="AD62" s="31" t="s">
        <v>95</v>
      </c>
      <c r="AE62" s="31" t="s">
        <v>96</v>
      </c>
      <c r="AF62" s="30"/>
      <c r="AG62" s="36"/>
      <c r="AH62" s="36"/>
      <c r="AI62" s="30"/>
    </row>
    <row r="63" spans="1:35">
      <c r="A63" s="30"/>
      <c r="B63" s="31" t="s">
        <v>77</v>
      </c>
      <c r="C63" s="31" t="s">
        <v>77</v>
      </c>
      <c r="D63" s="30"/>
      <c r="E63" s="31" t="s">
        <v>78</v>
      </c>
      <c r="F63" s="31" t="s">
        <v>79</v>
      </c>
      <c r="G63" s="32" t="s">
        <v>80</v>
      </c>
      <c r="H63" s="32" t="s">
        <v>81</v>
      </c>
      <c r="I63" s="30" t="str">
        <f t="shared" si="0"/>
        <v>Validate the data has been received on the correct day and is available for ingestion on FILE LEVEL - Last Friday of every Quarter</v>
      </c>
      <c r="J63" s="37" t="s">
        <v>140</v>
      </c>
      <c r="K63" s="33" t="s">
        <v>118</v>
      </c>
      <c r="L63" s="30" t="s">
        <v>119</v>
      </c>
      <c r="M63" s="33" t="s">
        <v>120</v>
      </c>
      <c r="N63" s="31" t="s">
        <v>132</v>
      </c>
      <c r="O63" s="34">
        <v>0.99</v>
      </c>
      <c r="P63" s="31" t="s">
        <v>87</v>
      </c>
      <c r="Q63" s="31" t="s">
        <v>88</v>
      </c>
      <c r="R63" s="31" t="s">
        <v>121</v>
      </c>
      <c r="S63" s="30"/>
      <c r="T63" s="31" t="s">
        <v>90</v>
      </c>
      <c r="U63" s="35" t="s">
        <v>173</v>
      </c>
      <c r="V63" s="31" t="s">
        <v>77</v>
      </c>
      <c r="W63" s="30" t="s">
        <v>174</v>
      </c>
      <c r="X63" s="38" t="s">
        <v>122</v>
      </c>
      <c r="Y63" s="31"/>
      <c r="Z63" s="30"/>
      <c r="AA63" s="30"/>
      <c r="AB63" s="31" t="s">
        <v>123</v>
      </c>
      <c r="AC63" s="30"/>
      <c r="AD63" s="31" t="s">
        <v>124</v>
      </c>
      <c r="AE63" s="31" t="s">
        <v>96</v>
      </c>
      <c r="AF63" s="30"/>
      <c r="AG63" s="36"/>
      <c r="AH63" s="36"/>
      <c r="AI63" s="30"/>
    </row>
    <row r="64" spans="1:35">
      <c r="V64" s="23"/>
    </row>
    <row r="65" spans="22:22">
      <c r="V65" s="23"/>
    </row>
    <row r="66" spans="22:22">
      <c r="V66" s="23"/>
    </row>
    <row r="67" spans="22:22">
      <c r="V67" s="23"/>
    </row>
    <row r="68" spans="22:22">
      <c r="V68" s="23"/>
    </row>
    <row r="69" spans="22:22">
      <c r="V69" s="23"/>
    </row>
    <row r="70" spans="22:22">
      <c r="V70" s="23"/>
    </row>
    <row r="71" spans="22:22">
      <c r="V71" s="23"/>
    </row>
    <row r="72" spans="22:22">
      <c r="V72" s="23"/>
    </row>
    <row r="73" spans="22:22">
      <c r="V73" s="23"/>
    </row>
    <row r="74" spans="22:22">
      <c r="V74" s="23"/>
    </row>
    <row r="75" spans="22:22">
      <c r="V75" s="23"/>
    </row>
  </sheetData>
  <autoFilter ref="A1:AI1" xr:uid="{43C402D6-E65F-409E-A766-07E0455C95BB}"/>
  <phoneticPr fontId="7" type="noConversion"/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84CE-22E5-4DF3-B798-4D91992C76F8}">
  <dimension ref="A1:AI1"/>
  <sheetViews>
    <sheetView showGridLines="0" workbookViewId="0">
      <pane ySplit="1" topLeftCell="A2" activePane="bottomLeft" state="frozen"/>
      <selection pane="bottomLeft" activeCell="C7" sqref="C7"/>
      <selection activeCell="C7" sqref="C7"/>
    </sheetView>
  </sheetViews>
  <sheetFormatPr defaultRowHeight="15"/>
  <cols>
    <col min="1" max="1" width="19.42578125" bestFit="1" customWidth="1"/>
    <col min="2" max="2" width="22.140625" bestFit="1" customWidth="1"/>
    <col min="3" max="3" width="16.7109375" bestFit="1" customWidth="1"/>
    <col min="4" max="4" width="19.140625" bestFit="1" customWidth="1"/>
    <col min="5" max="5" width="11.7109375" bestFit="1" customWidth="1"/>
    <col min="6" max="6" width="15.5703125" bestFit="1" customWidth="1"/>
    <col min="7" max="7" width="19.7109375" bestFit="1" customWidth="1"/>
    <col min="8" max="8" width="27.140625" bestFit="1" customWidth="1"/>
    <col min="9" max="9" width="17.85546875" bestFit="1" customWidth="1"/>
    <col min="10" max="10" width="25.140625" bestFit="1" customWidth="1"/>
    <col min="11" max="11" width="21.140625" bestFit="1" customWidth="1"/>
    <col min="12" max="12" width="16.140625" bestFit="1" customWidth="1"/>
    <col min="13" max="13" width="24" bestFit="1" customWidth="1"/>
    <col min="14" max="15" width="17.42578125" bestFit="1" customWidth="1"/>
    <col min="16" max="16" width="14.85546875" bestFit="1" customWidth="1"/>
    <col min="17" max="17" width="17" bestFit="1" customWidth="1"/>
    <col min="18" max="18" width="18" bestFit="1" customWidth="1"/>
    <col min="19" max="19" width="21.28515625" bestFit="1" customWidth="1"/>
    <col min="20" max="20" width="17.42578125" bestFit="1" customWidth="1"/>
    <col min="21" max="21" width="24.140625" bestFit="1" customWidth="1"/>
    <col min="22" max="22" width="18.140625" bestFit="1" customWidth="1"/>
    <col min="23" max="23" width="14.28515625" bestFit="1" customWidth="1"/>
    <col min="24" max="24" width="14" bestFit="1" customWidth="1"/>
    <col min="25" max="25" width="28.85546875" bestFit="1" customWidth="1"/>
    <col min="26" max="26" width="24.5703125" bestFit="1" customWidth="1"/>
    <col min="27" max="27" width="27.5703125" bestFit="1" customWidth="1"/>
    <col min="28" max="28" width="24.85546875" bestFit="1" customWidth="1"/>
    <col min="29" max="29" width="22.140625" bestFit="1" customWidth="1"/>
    <col min="30" max="30" width="13.85546875" bestFit="1" customWidth="1"/>
    <col min="31" max="31" width="9.5703125" bestFit="1" customWidth="1"/>
    <col min="32" max="32" width="22.42578125" bestFit="1" customWidth="1"/>
    <col min="33" max="33" width="16.42578125" bestFit="1" customWidth="1"/>
    <col min="34" max="34" width="25.7109375" bestFit="1" customWidth="1"/>
    <col min="35" max="35" width="17.7109375" bestFit="1" customWidth="1"/>
  </cols>
  <sheetData>
    <row r="1" spans="1:35" s="1" customFormat="1" ht="18.600000000000001" customHeight="1">
      <c r="A1" s="4" t="s">
        <v>4</v>
      </c>
      <c r="B1" s="5" t="s">
        <v>7</v>
      </c>
      <c r="C1" s="5" t="s">
        <v>9</v>
      </c>
      <c r="D1" s="4" t="s">
        <v>11</v>
      </c>
      <c r="E1" s="4" t="s">
        <v>13</v>
      </c>
      <c r="F1" s="4" t="s">
        <v>15</v>
      </c>
      <c r="G1" s="5" t="s">
        <v>17</v>
      </c>
      <c r="H1" s="5" t="s">
        <v>19</v>
      </c>
      <c r="I1" s="5" t="s">
        <v>21</v>
      </c>
      <c r="J1" s="5" t="s">
        <v>23</v>
      </c>
      <c r="K1" s="5" t="s">
        <v>25</v>
      </c>
      <c r="L1" s="5" t="s">
        <v>27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4" t="s">
        <v>41</v>
      </c>
      <c r="T1" s="5" t="s">
        <v>43</v>
      </c>
      <c r="U1" s="5" t="s">
        <v>45</v>
      </c>
      <c r="V1" s="5" t="s">
        <v>47</v>
      </c>
      <c r="W1" s="5" t="s">
        <v>49</v>
      </c>
      <c r="X1" s="5" t="s">
        <v>51</v>
      </c>
      <c r="Y1" s="5" t="s">
        <v>53</v>
      </c>
      <c r="Z1" s="5" t="s">
        <v>55</v>
      </c>
      <c r="AA1" s="5" t="s">
        <v>57</v>
      </c>
      <c r="AB1" s="5" t="s">
        <v>59</v>
      </c>
      <c r="AC1" s="5" t="s">
        <v>61</v>
      </c>
      <c r="AD1" s="5" t="s">
        <v>63</v>
      </c>
      <c r="AE1" s="5" t="s">
        <v>65</v>
      </c>
      <c r="AF1" s="4" t="s">
        <v>67</v>
      </c>
      <c r="AG1" s="6" t="s">
        <v>69</v>
      </c>
      <c r="AH1" s="6" t="s">
        <v>75</v>
      </c>
      <c r="AI1" s="4" t="s">
        <v>76</v>
      </c>
    </row>
  </sheetData>
  <autoFilter ref="A1:AJ1" xr:uid="{24D084CE-22E5-4DF3-B798-4D91992C76F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A2B2-3236-4DD9-AC62-04A0DA408FA2}">
  <dimension ref="A1:AI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42578125" bestFit="1" customWidth="1"/>
    <col min="2" max="2" width="22.140625" bestFit="1" customWidth="1"/>
    <col min="3" max="3" width="16.7109375" bestFit="1" customWidth="1"/>
    <col min="4" max="4" width="19.140625" bestFit="1" customWidth="1"/>
    <col min="5" max="5" width="11.7109375" bestFit="1" customWidth="1"/>
    <col min="6" max="6" width="15.5703125" bestFit="1" customWidth="1"/>
    <col min="7" max="7" width="19.7109375" bestFit="1" customWidth="1"/>
    <col min="8" max="8" width="27.140625" bestFit="1" customWidth="1"/>
    <col min="9" max="9" width="17.85546875" bestFit="1" customWidth="1"/>
    <col min="10" max="10" width="25.140625" bestFit="1" customWidth="1"/>
    <col min="11" max="11" width="21.140625" bestFit="1" customWidth="1"/>
    <col min="12" max="12" width="16.140625" bestFit="1" customWidth="1"/>
    <col min="13" max="13" width="24" bestFit="1" customWidth="1"/>
    <col min="14" max="15" width="17.42578125" bestFit="1" customWidth="1"/>
    <col min="16" max="16" width="14.85546875" bestFit="1" customWidth="1"/>
    <col min="17" max="17" width="17" bestFit="1" customWidth="1"/>
    <col min="18" max="18" width="18" bestFit="1" customWidth="1"/>
    <col min="19" max="19" width="21.28515625" bestFit="1" customWidth="1"/>
    <col min="20" max="20" width="17.42578125" bestFit="1" customWidth="1"/>
    <col min="21" max="21" width="24.140625" bestFit="1" customWidth="1"/>
    <col min="22" max="22" width="18.140625" bestFit="1" customWidth="1"/>
    <col min="23" max="23" width="14.28515625" bestFit="1" customWidth="1"/>
    <col min="24" max="24" width="14" bestFit="1" customWidth="1"/>
    <col min="25" max="25" width="28.85546875" bestFit="1" customWidth="1"/>
    <col min="26" max="26" width="24.5703125" bestFit="1" customWidth="1"/>
    <col min="27" max="27" width="27.5703125" bestFit="1" customWidth="1"/>
    <col min="28" max="28" width="24.85546875" bestFit="1" customWidth="1"/>
    <col min="29" max="29" width="22.140625" bestFit="1" customWidth="1"/>
    <col min="30" max="30" width="13.85546875" bestFit="1" customWidth="1"/>
    <col min="31" max="31" width="9.5703125" bestFit="1" customWidth="1"/>
    <col min="32" max="32" width="22.42578125" bestFit="1" customWidth="1"/>
    <col min="33" max="33" width="16.42578125" bestFit="1" customWidth="1"/>
    <col min="34" max="34" width="25.7109375" bestFit="1" customWidth="1"/>
    <col min="35" max="35" width="17.7109375" bestFit="1" customWidth="1"/>
  </cols>
  <sheetData>
    <row r="1" spans="1:35" s="1" customFormat="1" ht="18.600000000000001" customHeight="1">
      <c r="A1" s="4" t="s">
        <v>4</v>
      </c>
      <c r="B1" s="5" t="s">
        <v>7</v>
      </c>
      <c r="C1" s="5" t="s">
        <v>9</v>
      </c>
      <c r="D1" s="4" t="s">
        <v>11</v>
      </c>
      <c r="E1" s="4" t="s">
        <v>13</v>
      </c>
      <c r="F1" s="4" t="s">
        <v>15</v>
      </c>
      <c r="G1" s="5" t="s">
        <v>17</v>
      </c>
      <c r="H1" s="5" t="s">
        <v>19</v>
      </c>
      <c r="I1" s="5" t="s">
        <v>21</v>
      </c>
      <c r="J1" s="5" t="s">
        <v>23</v>
      </c>
      <c r="K1" s="5" t="s">
        <v>25</v>
      </c>
      <c r="L1" s="5" t="s">
        <v>27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4" t="s">
        <v>41</v>
      </c>
      <c r="T1" s="5" t="s">
        <v>43</v>
      </c>
      <c r="U1" s="5" t="s">
        <v>45</v>
      </c>
      <c r="V1" s="5" t="s">
        <v>47</v>
      </c>
      <c r="W1" s="5" t="s">
        <v>49</v>
      </c>
      <c r="X1" s="5" t="s">
        <v>51</v>
      </c>
      <c r="Y1" s="5" t="s">
        <v>53</v>
      </c>
      <c r="Z1" s="5" t="s">
        <v>55</v>
      </c>
      <c r="AA1" s="5" t="s">
        <v>57</v>
      </c>
      <c r="AB1" s="5" t="s">
        <v>59</v>
      </c>
      <c r="AC1" s="5" t="s">
        <v>61</v>
      </c>
      <c r="AD1" s="5" t="s">
        <v>63</v>
      </c>
      <c r="AE1" s="5" t="s">
        <v>65</v>
      </c>
      <c r="AF1" s="4" t="s">
        <v>67</v>
      </c>
      <c r="AG1" s="6" t="s">
        <v>69</v>
      </c>
      <c r="AH1" s="6" t="s">
        <v>75</v>
      </c>
      <c r="AI1" s="4" t="s">
        <v>76</v>
      </c>
    </row>
  </sheetData>
  <autoFilter ref="A1:AJ1" xr:uid="{C016A2B2-3236-4DD9-AC62-04A0DA408FA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715A3F62B9BD4C995D5CB4A8BFD3BF" ma:contentTypeVersion="14" ma:contentTypeDescription="Create a new document." ma:contentTypeScope="" ma:versionID="5e51b8e1415c77645ec6ec4e94c6cca2">
  <xsd:schema xmlns:xsd="http://www.w3.org/2001/XMLSchema" xmlns:xs="http://www.w3.org/2001/XMLSchema" xmlns:p="http://schemas.microsoft.com/office/2006/metadata/properties" xmlns:ns1="http://schemas.microsoft.com/sharepoint/v3" xmlns:ns2="7d660381-480c-49c8-9f55-809d363cb0a3" xmlns:ns3="a5a417f4-10c0-4e43-aa0d-9b2195c6b46d" targetNamespace="http://schemas.microsoft.com/office/2006/metadata/properties" ma:root="true" ma:fieldsID="7e4f13e2997f62942d0141a6ebfc5e06" ns1:_="" ns2:_="" ns3:_="">
    <xsd:import namespace="http://schemas.microsoft.com/sharepoint/v3"/>
    <xsd:import namespace="7d660381-480c-49c8-9f55-809d363cb0a3"/>
    <xsd:import namespace="a5a417f4-10c0-4e43-aa0d-9b2195c6b4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0381-480c-49c8-9f55-809d363cb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417f4-10c0-4e43-aa0d-9b2195c6b46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7389de0-0fe4-4057-8481-41a101cf0ee9}" ma:internalName="TaxCatchAll" ma:showField="CatchAllData" ma:web="a5a417f4-10c0-4e43-aa0d-9b2195c6b4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417f4-10c0-4e43-aa0d-9b2195c6b46d" xsi:nil="true"/>
    <lcf76f155ced4ddcb4097134ff3c332f xmlns="7d660381-480c-49c8-9f55-809d363cb0a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5CF6FB-EAF1-4969-90FA-875AD7260EF7}"/>
</file>

<file path=customXml/itemProps2.xml><?xml version="1.0" encoding="utf-8"?>
<ds:datastoreItem xmlns:ds="http://schemas.openxmlformats.org/officeDocument/2006/customXml" ds:itemID="{0306D0F3-70AB-4310-BE8E-873A7E5B4E3E}"/>
</file>

<file path=customXml/itemProps3.xml><?xml version="1.0" encoding="utf-8"?>
<ds:datastoreItem xmlns:ds="http://schemas.openxmlformats.org/officeDocument/2006/customXml" ds:itemID="{7D47D8A6-9C43-4D25-9692-58DC4F99A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Markov, Emil</dc:creator>
  <cp:keywords/>
  <dc:description/>
  <cp:lastModifiedBy>Diaz Duvivier, Victor (Santander UK)</cp:lastModifiedBy>
  <cp:revision/>
  <dcterms:created xsi:type="dcterms:W3CDTF">2025-11-06T15:24:31Z</dcterms:created>
  <dcterms:modified xsi:type="dcterms:W3CDTF">2026-05-13T14:44:22Z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2025-11-06T15:25:25Z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5b49979a-499d-43a3-962b-378b2e4bc290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0x0101003C715A3F62B9BD4C995D5CB4A8BFD3BF</vt:lpwstr>
  </property>
  <property fmtid="{D5CDD505-2E9C-101B-9397-08002B2CF9AE}" pid="11" name="MediaServiceImageTags">
    <vt:lpwstr/>
  </property>
</Properties>
</file>