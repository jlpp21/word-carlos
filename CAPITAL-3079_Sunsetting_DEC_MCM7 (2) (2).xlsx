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santandernet-my.sharepoint.com/personal/maryanne_ioannides_santander_co_uk/Documents/sunsetting/banking app+beh/"/>
    </mc:Choice>
  </mc:AlternateContent>
  <xr:revisionPtr revIDLastSave="0" documentId="8_{69B87E59-D648-4695-9992-6244A31F91B4}" xr6:coauthVersionLast="47" xr6:coauthVersionMax="47" xr10:uidLastSave="{00000000-0000-0000-0000-000000000000}"/>
  <bookViews>
    <workbookView xWindow="-28920" yWindow="-120" windowWidth="29040" windowHeight="15840" activeTab="4" xr2:uid="{715194F2-CCFA-466A-BA7F-E7BAC175BC57}"/>
  </bookViews>
  <sheets>
    <sheet name="Summary" sheetId="14" r:id="rId1"/>
    <sheet name="Behavioural_scoring_partitions" sheetId="2" r:id="rId2"/>
    <sheet name="Application_banking" sheetId="8" r:id="rId3"/>
    <sheet name="Banking_driver" sheetId="1" r:id="rId4"/>
    <sheet name="banking_irb2_model_ecb" sheetId="9" r:id="rId5"/>
    <sheet name="Internal_ratings_banking" sheetId="13" r:id="rId6"/>
    <sheet name="application_loan_partitions" sheetId="3" r:id="rId7"/>
    <sheet name="upl_driver" sheetId="4" r:id="rId8"/>
    <sheet name="upl_bh_score" sheetId="6" r:id="rId9"/>
    <sheet name="upl_irb2_model_ecb" sheetId="7" r:id="rId10"/>
    <sheet name="upl_model_pra" sheetId="11" r:id="rId11"/>
    <sheet name="Internal_ratings_upl" sheetId="12" r:id="rId12"/>
  </sheets>
  <definedNames>
    <definedName name="_xlnm._FilterDatabase" localSheetId="3" hidden="1">Banking_driver!$F$2:$F$215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2" l="1"/>
  <c r="I7" i="12"/>
  <c r="J7" i="12"/>
  <c r="K7" i="12"/>
  <c r="L7" i="12"/>
  <c r="M7" i="12"/>
  <c r="N7" i="12"/>
  <c r="O7" i="12"/>
  <c r="P7" i="12"/>
  <c r="Q7" i="12"/>
  <c r="R7" i="12"/>
  <c r="S7" i="12"/>
  <c r="T7" i="12"/>
  <c r="U7" i="12"/>
  <c r="V7" i="12"/>
  <c r="W7" i="12"/>
  <c r="X7" i="12"/>
  <c r="Y7" i="12"/>
  <c r="Z7" i="12"/>
  <c r="AA7" i="12"/>
  <c r="AB7" i="12"/>
  <c r="AC7" i="12"/>
  <c r="AD7" i="12"/>
  <c r="AE7" i="12"/>
  <c r="AF7" i="12"/>
  <c r="AG7" i="12"/>
  <c r="AH7" i="12"/>
  <c r="AI7" i="12"/>
  <c r="AJ7" i="12"/>
  <c r="AK7" i="12"/>
  <c r="AL7" i="12"/>
  <c r="AM7" i="12"/>
  <c r="AN7" i="12"/>
  <c r="AO7" i="12"/>
  <c r="AP7" i="12"/>
  <c r="AQ7" i="12"/>
  <c r="AR7" i="12"/>
  <c r="AS7" i="12"/>
  <c r="AT7" i="12"/>
  <c r="AU7" i="12"/>
  <c r="AV7" i="12"/>
  <c r="AW7" i="12"/>
  <c r="AX7" i="12"/>
  <c r="G7" i="12"/>
  <c r="G8" i="11"/>
  <c r="FK8" i="13" l="1"/>
  <c r="FO8" i="13"/>
  <c r="FG8" i="13"/>
  <c r="FC8" i="13"/>
  <c r="EY8" i="13"/>
  <c r="EU8" i="13"/>
  <c r="EQ8" i="13"/>
  <c r="EM8" i="13"/>
  <c r="EI8" i="13"/>
  <c r="EE8" i="13"/>
  <c r="EA8" i="13"/>
  <c r="DW8" i="13"/>
  <c r="DS8" i="13"/>
  <c r="DO8" i="13"/>
  <c r="DG8" i="13"/>
  <c r="DK8" i="13"/>
  <c r="DC8" i="13"/>
  <c r="CY8" i="13"/>
  <c r="CU8" i="13"/>
  <c r="CQ8" i="13"/>
  <c r="CM8" i="13"/>
  <c r="CI8" i="13"/>
  <c r="CE8" i="13"/>
  <c r="CA8" i="13"/>
  <c r="BW8" i="13"/>
  <c r="BS8" i="13"/>
  <c r="BO8" i="13"/>
  <c r="BK8" i="13"/>
  <c r="BG8" i="13"/>
  <c r="BC8" i="13"/>
  <c r="AY8" i="13"/>
  <c r="AU8" i="13"/>
  <c r="AQ8" i="13"/>
  <c r="AM8" i="13"/>
  <c r="AI8" i="13"/>
  <c r="AE8" i="13"/>
  <c r="AA8" i="13"/>
  <c r="W8" i="13"/>
  <c r="S8" i="13"/>
  <c r="O8" i="13"/>
  <c r="K8" i="13"/>
  <c r="G8" i="13"/>
  <c r="G8" i="1"/>
  <c r="EY8" i="1"/>
  <c r="EU8" i="1"/>
  <c r="EQ8" i="1"/>
  <c r="EM8" i="1"/>
  <c r="EI8" i="1"/>
  <c r="EE8" i="1"/>
  <c r="EA8" i="1"/>
  <c r="DW8" i="1"/>
  <c r="DS8" i="1"/>
  <c r="DO8" i="1"/>
  <c r="DK8" i="1"/>
  <c r="DG8" i="1"/>
  <c r="DC8" i="1"/>
  <c r="CY8" i="1"/>
  <c r="CU8" i="1"/>
  <c r="CQ8" i="1"/>
  <c r="CM8" i="1"/>
  <c r="CI8" i="1"/>
  <c r="CE8" i="1"/>
  <c r="CA8" i="1"/>
  <c r="BW8" i="1"/>
  <c r="BS8" i="1"/>
  <c r="BO8" i="1"/>
  <c r="BK8" i="1"/>
  <c r="BG8" i="1"/>
  <c r="BC8" i="1"/>
  <c r="AY8" i="1"/>
  <c r="AU8" i="1"/>
  <c r="AQ8" i="1"/>
  <c r="AM8" i="1"/>
  <c r="AI8" i="1"/>
  <c r="AE8" i="1"/>
  <c r="AA8" i="1"/>
  <c r="W8" i="1"/>
  <c r="S8" i="1"/>
  <c r="O8" i="1"/>
  <c r="K8" i="1"/>
  <c r="G8" i="9"/>
  <c r="F12" i="2"/>
  <c r="G12" i="2"/>
  <c r="H12" i="2"/>
  <c r="I12" i="2"/>
  <c r="J12" i="2"/>
  <c r="K12" i="2"/>
  <c r="L12" i="2"/>
  <c r="M12" i="2"/>
  <c r="N12" i="2"/>
  <c r="O12" i="2"/>
  <c r="P12" i="2"/>
  <c r="Q12" i="2"/>
  <c r="R12" i="2"/>
  <c r="S12" i="2"/>
  <c r="T12" i="2"/>
  <c r="U12" i="2"/>
  <c r="V12" i="2"/>
  <c r="W12" i="2"/>
  <c r="X12" i="2"/>
  <c r="Y12" i="2"/>
  <c r="Z12" i="2"/>
  <c r="AA12" i="2"/>
  <c r="AB12" i="2"/>
  <c r="AC12" i="2"/>
  <c r="AD12" i="2"/>
  <c r="AE12" i="2"/>
  <c r="AF12" i="2"/>
  <c r="AG12" i="2"/>
  <c r="AH12" i="2"/>
  <c r="AI12" i="2"/>
  <c r="AJ12" i="2"/>
  <c r="AK12" i="2"/>
  <c r="AL12" i="2"/>
  <c r="AM12" i="2"/>
  <c r="AN12" i="2"/>
  <c r="AO12" i="2"/>
  <c r="AP12" i="2"/>
  <c r="AQ12" i="2"/>
  <c r="AR12" i="2"/>
  <c r="AS12" i="2"/>
  <c r="AT12" i="2"/>
  <c r="AU12" i="2"/>
  <c r="AV12" i="2"/>
  <c r="AW12" i="2"/>
  <c r="AX12" i="2"/>
  <c r="AY12" i="2"/>
  <c r="AZ12" i="2"/>
  <c r="BA12" i="2"/>
  <c r="BB12" i="2"/>
  <c r="BC12" i="2"/>
  <c r="BD12" i="2"/>
  <c r="BE12" i="2"/>
  <c r="BF12" i="2"/>
  <c r="BG12" i="2"/>
  <c r="O8" i="2"/>
  <c r="P8" i="2"/>
  <c r="Q8" i="2"/>
  <c r="R8" i="2"/>
  <c r="S8" i="2"/>
  <c r="T8" i="2"/>
  <c r="U8" i="2"/>
  <c r="V8" i="2"/>
  <c r="W8" i="2"/>
  <c r="X8" i="2"/>
  <c r="Y8" i="2"/>
  <c r="Z8" i="2"/>
  <c r="AA8" i="2"/>
  <c r="AB8" i="2"/>
  <c r="AC8" i="2"/>
  <c r="AD8" i="2"/>
  <c r="AE8" i="2"/>
  <c r="AF8" i="2"/>
  <c r="AG8" i="2"/>
  <c r="AH8" i="2"/>
  <c r="AI8" i="2"/>
  <c r="AJ8" i="2"/>
  <c r="AK8" i="2"/>
  <c r="AL8" i="2"/>
  <c r="AM8" i="2"/>
  <c r="AN8" i="2"/>
  <c r="AO8" i="2"/>
  <c r="AP8" i="2"/>
  <c r="AQ8" i="2"/>
  <c r="AR8" i="2"/>
  <c r="AS8" i="2"/>
  <c r="AT8" i="2"/>
  <c r="AU8" i="2"/>
  <c r="AV8" i="2"/>
  <c r="AW8" i="2"/>
  <c r="AX8" i="2"/>
  <c r="AY8" i="2"/>
  <c r="AZ8" i="2"/>
  <c r="BA8" i="2"/>
  <c r="BB8" i="2"/>
  <c r="BC8" i="2"/>
  <c r="BD8" i="2"/>
  <c r="BE8" i="2"/>
  <c r="BF8" i="2"/>
  <c r="BG8" i="2"/>
  <c r="F8" i="2"/>
  <c r="G8" i="2"/>
  <c r="H8" i="2"/>
  <c r="I8" i="2"/>
  <c r="J8" i="2"/>
  <c r="K8" i="2"/>
  <c r="L8" i="2"/>
  <c r="M8" i="2"/>
  <c r="N8" i="2"/>
  <c r="AO8" i="11"/>
  <c r="AP8" i="11"/>
  <c r="AQ8" i="11"/>
  <c r="AR8" i="11"/>
  <c r="AS8" i="11"/>
  <c r="AT8" i="11"/>
  <c r="AU8" i="11"/>
  <c r="AN8" i="11"/>
  <c r="AM8" i="11"/>
  <c r="AL8" i="11"/>
  <c r="AK8" i="11"/>
  <c r="AJ8" i="11"/>
  <c r="AI8" i="11"/>
  <c r="AH8" i="11"/>
  <c r="AG8" i="11"/>
  <c r="AF8" i="11"/>
  <c r="AE8" i="11"/>
  <c r="AD8" i="11"/>
  <c r="AC8" i="11"/>
  <c r="AB8" i="11"/>
  <c r="AA8" i="11"/>
  <c r="Z8" i="11"/>
  <c r="Y8" i="11"/>
  <c r="X8" i="11"/>
  <c r="W8" i="11"/>
  <c r="V8" i="11"/>
  <c r="U8" i="11"/>
  <c r="T8" i="11"/>
  <c r="S8" i="11"/>
  <c r="R8" i="11"/>
  <c r="Q8" i="11"/>
  <c r="P8" i="11"/>
  <c r="O8" i="11"/>
  <c r="N8" i="11"/>
  <c r="M8" i="11"/>
  <c r="L8" i="11"/>
  <c r="K8" i="11"/>
  <c r="J8" i="11"/>
  <c r="I8" i="11"/>
  <c r="H8" i="11"/>
  <c r="K68" i="8"/>
  <c r="F68" i="8"/>
  <c r="K65" i="8"/>
  <c r="F65" i="8"/>
  <c r="AX11" i="8"/>
  <c r="AT11" i="8"/>
  <c r="AP11" i="8"/>
  <c r="AL11" i="8"/>
  <c r="AH11" i="8"/>
  <c r="AD11" i="8"/>
  <c r="Z11" i="8"/>
  <c r="V11" i="8"/>
  <c r="R11" i="8"/>
  <c r="N11" i="8"/>
  <c r="J11" i="8"/>
  <c r="F11" i="8"/>
  <c r="FS8" i="9"/>
  <c r="FO8" i="9"/>
  <c r="FK8" i="9"/>
  <c r="FG8" i="9"/>
  <c r="FC8" i="9"/>
  <c r="EY8" i="9"/>
  <c r="EU8" i="9"/>
  <c r="EQ8" i="9"/>
  <c r="EM8" i="9"/>
  <c r="EI8" i="9"/>
  <c r="EE8" i="9"/>
  <c r="EA8" i="9"/>
  <c r="DW8" i="9"/>
  <c r="DS8" i="9"/>
  <c r="DO8" i="9"/>
  <c r="DK8" i="9"/>
  <c r="DG8" i="9"/>
  <c r="DC8" i="9"/>
  <c r="CY8" i="9"/>
  <c r="CU8" i="9"/>
  <c r="CQ8" i="9"/>
  <c r="CM8" i="9"/>
  <c r="CI8" i="9"/>
  <c r="CE8" i="9"/>
  <c r="CA8" i="9"/>
  <c r="BW8" i="9"/>
  <c r="BS8" i="9"/>
  <c r="BO8" i="9"/>
  <c r="BK8" i="9"/>
  <c r="BG8" i="9"/>
  <c r="BC8" i="9"/>
  <c r="AY8" i="9"/>
  <c r="AU8" i="9"/>
  <c r="AQ8" i="9"/>
  <c r="AM8" i="9"/>
  <c r="AI8" i="9"/>
  <c r="AE8" i="9"/>
  <c r="AA8" i="9"/>
  <c r="W8" i="9"/>
  <c r="S8" i="9"/>
  <c r="O8" i="9"/>
  <c r="K8" i="9"/>
  <c r="AX8" i="8"/>
  <c r="AT8" i="8"/>
  <c r="AP8" i="8"/>
  <c r="AL8" i="8"/>
  <c r="AH8" i="8"/>
  <c r="AD8" i="8"/>
  <c r="Z8" i="8"/>
  <c r="V8" i="8"/>
  <c r="R8" i="8"/>
  <c r="N8" i="8"/>
  <c r="J8" i="8"/>
  <c r="F8" i="8"/>
  <c r="U44" i="1"/>
  <c r="P44" i="1"/>
  <c r="K44" i="1"/>
  <c r="F44" i="1"/>
  <c r="J8" i="7"/>
  <c r="K8" i="7"/>
  <c r="L8" i="7"/>
  <c r="M8" i="7"/>
  <c r="N8" i="7"/>
  <c r="O8" i="7"/>
  <c r="P8" i="7"/>
  <c r="Q8" i="7"/>
  <c r="R8" i="7"/>
  <c r="S8" i="7"/>
  <c r="T8" i="7"/>
  <c r="U8" i="7"/>
  <c r="V8" i="7"/>
  <c r="W8" i="7"/>
  <c r="X8" i="7"/>
  <c r="Y8" i="7"/>
  <c r="Z8" i="7"/>
  <c r="AA8" i="7"/>
  <c r="AB8" i="7"/>
  <c r="AC8" i="7"/>
  <c r="AD8" i="7"/>
  <c r="AE8" i="7"/>
  <c r="AF8" i="7"/>
  <c r="AG8" i="7"/>
  <c r="AH8" i="7"/>
  <c r="AI8" i="7"/>
  <c r="AJ8" i="7"/>
  <c r="AK8" i="7"/>
  <c r="AL8" i="7"/>
  <c r="AM8" i="7"/>
  <c r="AN8" i="7"/>
  <c r="AO8" i="7"/>
  <c r="AP8" i="7"/>
  <c r="AQ8" i="7"/>
  <c r="AR8" i="7"/>
  <c r="AS8" i="7"/>
  <c r="AT8" i="7"/>
  <c r="AU8" i="7"/>
  <c r="I8" i="7"/>
  <c r="MG11" i="6"/>
  <c r="MC11" i="6"/>
  <c r="LY11" i="6"/>
  <c r="LU11" i="6"/>
  <c r="LQ11" i="6"/>
  <c r="LM11" i="6"/>
  <c r="LI11" i="6"/>
  <c r="LE11" i="6"/>
  <c r="LA11" i="6"/>
  <c r="KW11" i="6"/>
  <c r="KS11" i="6"/>
  <c r="KO11" i="6"/>
  <c r="KK11" i="6"/>
  <c r="KG11" i="6"/>
  <c r="KC11" i="6"/>
  <c r="JY11" i="6"/>
  <c r="JU11" i="6"/>
  <c r="JQ11" i="6"/>
  <c r="JM11" i="6"/>
  <c r="JI11" i="6"/>
  <c r="JE11" i="6"/>
  <c r="JA11" i="6"/>
  <c r="IW11" i="6"/>
  <c r="IS11" i="6"/>
  <c r="IO11" i="6"/>
  <c r="IK11" i="6"/>
  <c r="IG11" i="6"/>
  <c r="IC11" i="6"/>
  <c r="HY11" i="6"/>
  <c r="HU11" i="6"/>
  <c r="HQ11" i="6"/>
  <c r="HM11" i="6"/>
  <c r="HI11" i="6"/>
  <c r="HE11" i="6"/>
  <c r="HA11" i="6"/>
  <c r="GW11" i="6"/>
  <c r="GS11" i="6"/>
  <c r="GO11" i="6"/>
  <c r="GK11" i="6"/>
  <c r="GG11" i="6"/>
  <c r="GC11" i="6"/>
  <c r="FY11" i="6"/>
  <c r="FU11" i="6"/>
  <c r="FQ11" i="6"/>
  <c r="FM11" i="6"/>
  <c r="FI11" i="6"/>
  <c r="FE11" i="6"/>
  <c r="FA11" i="6"/>
  <c r="EW11" i="6"/>
  <c r="ES11" i="6"/>
  <c r="EO11" i="6"/>
  <c r="EK11" i="6"/>
  <c r="EG11" i="6"/>
  <c r="EC11" i="6"/>
  <c r="DY11" i="6"/>
  <c r="DU11" i="6"/>
  <c r="DQ11" i="6"/>
  <c r="DM11" i="6"/>
  <c r="DI11" i="6"/>
  <c r="DE11" i="6"/>
  <c r="DA11" i="6"/>
  <c r="CW11" i="6"/>
  <c r="CS11" i="6"/>
  <c r="CO11" i="6"/>
  <c r="CK11" i="6"/>
  <c r="CG11" i="6"/>
  <c r="CC11" i="6"/>
  <c r="BY11" i="6"/>
  <c r="BU11" i="6"/>
  <c r="BQ11" i="6"/>
  <c r="BM11" i="6"/>
  <c r="BI11" i="6"/>
  <c r="BE11" i="6"/>
  <c r="BA11" i="6"/>
  <c r="AW11" i="6"/>
  <c r="AS11" i="6"/>
  <c r="AO11" i="6"/>
  <c r="AK11" i="6"/>
  <c r="AG11" i="6"/>
  <c r="AC11" i="6"/>
  <c r="Y11" i="6"/>
  <c r="U11" i="6"/>
  <c r="Q11" i="6"/>
  <c r="M11" i="6"/>
  <c r="I11" i="6"/>
  <c r="MG8" i="6"/>
  <c r="MC8" i="6"/>
  <c r="LY8" i="6"/>
  <c r="LU8" i="6"/>
  <c r="LQ8" i="6"/>
  <c r="LM8" i="6"/>
  <c r="LI8" i="6"/>
  <c r="LE8" i="6"/>
  <c r="LA8" i="6"/>
  <c r="KW8" i="6"/>
  <c r="KS8" i="6"/>
  <c r="KO8" i="6"/>
  <c r="KK8" i="6"/>
  <c r="KG8" i="6"/>
  <c r="KC8" i="6"/>
  <c r="JY8" i="6"/>
  <c r="JU8" i="6"/>
  <c r="JQ8" i="6"/>
  <c r="JM8" i="6"/>
  <c r="JI8" i="6"/>
  <c r="JE8" i="6"/>
  <c r="JA8" i="6"/>
  <c r="IW8" i="6"/>
  <c r="IS8" i="6"/>
  <c r="IO8" i="6"/>
  <c r="IK8" i="6"/>
  <c r="IG8" i="6"/>
  <c r="IC8" i="6"/>
  <c r="HY8" i="6"/>
  <c r="HU8" i="6"/>
  <c r="HQ8" i="6"/>
  <c r="HM8" i="6"/>
  <c r="HI8" i="6"/>
  <c r="HE8" i="6"/>
  <c r="HA8" i="6"/>
  <c r="GW8" i="6"/>
  <c r="GS8" i="6"/>
  <c r="GO8" i="6"/>
  <c r="GK8" i="6"/>
  <c r="GG8" i="6"/>
  <c r="GC8" i="6"/>
  <c r="FY8" i="6"/>
  <c r="FU8" i="6"/>
  <c r="FQ8" i="6"/>
  <c r="FM8" i="6"/>
  <c r="FI8" i="6"/>
  <c r="FE8" i="6"/>
  <c r="FA8" i="6"/>
  <c r="EW8" i="6"/>
  <c r="ES8" i="6"/>
  <c r="EO8" i="6"/>
  <c r="EK8" i="6"/>
  <c r="EG8" i="6"/>
  <c r="EC8" i="6"/>
  <c r="DY8" i="6"/>
  <c r="DU8" i="6"/>
  <c r="DQ8" i="6"/>
  <c r="DM8" i="6"/>
  <c r="DI8" i="6"/>
  <c r="DE8" i="6"/>
  <c r="DA8" i="6"/>
  <c r="CW8" i="6"/>
  <c r="CS8" i="6"/>
  <c r="CO8" i="6"/>
  <c r="CK8" i="6"/>
  <c r="CG8" i="6"/>
  <c r="CC8" i="6"/>
  <c r="BY8" i="6"/>
  <c r="BU8" i="6"/>
  <c r="BQ8" i="6"/>
  <c r="BM8" i="6"/>
  <c r="BI8" i="6"/>
  <c r="BE8" i="6"/>
  <c r="BA8" i="6"/>
  <c r="AW8" i="6"/>
  <c r="AS8" i="6"/>
  <c r="AO8" i="6"/>
  <c r="AK8" i="6"/>
  <c r="AG8" i="6"/>
  <c r="AC8" i="6"/>
  <c r="Y8" i="6"/>
  <c r="U8" i="6"/>
  <c r="Q8" i="6"/>
  <c r="M8" i="6"/>
  <c r="I8" i="6"/>
  <c r="H8" i="4"/>
  <c r="I8" i="4"/>
  <c r="J8" i="4"/>
  <c r="K8" i="4"/>
  <c r="L8" i="4"/>
  <c r="M8" i="4"/>
  <c r="N8" i="4"/>
  <c r="O8" i="4"/>
  <c r="P8" i="4"/>
  <c r="Q8" i="4"/>
  <c r="R8" i="4"/>
  <c r="S8" i="4"/>
  <c r="T8" i="4"/>
  <c r="U8" i="4"/>
  <c r="V8" i="4"/>
  <c r="W8" i="4"/>
  <c r="X8" i="4"/>
  <c r="Y8" i="4"/>
  <c r="Z8" i="4"/>
  <c r="AA8" i="4"/>
  <c r="AB8" i="4"/>
  <c r="AC8" i="4"/>
  <c r="AD8" i="4"/>
  <c r="AE8" i="4"/>
  <c r="AF8" i="4"/>
  <c r="AG8" i="4"/>
  <c r="AH8" i="4"/>
  <c r="AI8" i="4"/>
  <c r="AJ8" i="4"/>
  <c r="AK8" i="4"/>
  <c r="AL8" i="4"/>
  <c r="AM8" i="4"/>
  <c r="AN8" i="4"/>
  <c r="AO8" i="4"/>
  <c r="AP8" i="4"/>
  <c r="AQ8" i="4"/>
  <c r="AR8" i="4"/>
  <c r="AS8" i="4"/>
  <c r="AT8" i="4"/>
  <c r="AU8" i="4"/>
  <c r="AV8" i="4"/>
  <c r="AW8" i="4"/>
  <c r="AX8" i="4"/>
  <c r="AY8" i="4"/>
  <c r="AZ8" i="4"/>
  <c r="BA8" i="4"/>
  <c r="BB8" i="4"/>
  <c r="BC8" i="4"/>
  <c r="BD8" i="4"/>
  <c r="BE8" i="4"/>
  <c r="BF8" i="4"/>
  <c r="BG8" i="4"/>
  <c r="BH8" i="4"/>
  <c r="BI8" i="4"/>
  <c r="BJ8" i="4"/>
  <c r="BK8" i="4"/>
  <c r="BL8" i="4"/>
  <c r="BM8" i="4"/>
  <c r="G8" i="4"/>
  <c r="F38" i="2"/>
  <c r="G8" i="3" l="1"/>
  <c r="H8" i="3"/>
  <c r="I8" i="3"/>
  <c r="J8" i="3"/>
  <c r="K8" i="3"/>
  <c r="L8" i="3"/>
  <c r="M8" i="3"/>
  <c r="N8" i="3"/>
  <c r="O8" i="3"/>
  <c r="P8" i="3"/>
  <c r="Q8" i="3"/>
  <c r="R8" i="3"/>
  <c r="S8" i="3"/>
  <c r="T8" i="3"/>
  <c r="U8" i="3"/>
  <c r="V8" i="3"/>
  <c r="W8" i="3"/>
  <c r="X8" i="3"/>
  <c r="Y8" i="3"/>
  <c r="Z8" i="3"/>
  <c r="G38" i="2"/>
  <c r="H38" i="2"/>
  <c r="I38" i="2"/>
  <c r="J38" i="2"/>
  <c r="K38" i="2"/>
  <c r="L38" i="2"/>
  <c r="M38" i="2"/>
  <c r="N38" i="2"/>
</calcChain>
</file>

<file path=xl/sharedStrings.xml><?xml version="1.0" encoding="utf-8"?>
<sst xmlns="http://schemas.openxmlformats.org/spreadsheetml/2006/main" count="3430" uniqueCount="1533">
  <si>
    <t>Summary</t>
  </si>
  <si>
    <t>table</t>
  </si>
  <si>
    <t xml:space="preserve">change  </t>
  </si>
  <si>
    <t>Regression</t>
  </si>
  <si>
    <t>Logic</t>
  </si>
  <si>
    <t xml:space="preserve">banking  </t>
  </si>
  <si>
    <t>retail_decisioning_enriched.</t>
  </si>
  <si>
    <t>1 - new columns,</t>
  </si>
  <si>
    <t>passed</t>
  </si>
  <si>
    <t>behavioural_scoring_partitions</t>
  </si>
  <si>
    <t>scorecard_dormancy_flag</t>
  </si>
  <si>
    <t>scorecard_colls_exclusion_flag</t>
  </si>
  <si>
    <t>account_status</t>
  </si>
  <si>
    <t>product_grouping</t>
  </si>
  <si>
    <t>deceased_flag</t>
  </si>
  <si>
    <t>scorecard_bad_flag</t>
  </si>
  <si>
    <t>behavioural_score_value_ECB</t>
  </si>
  <si>
    <t>behavioural_score_id_ECB</t>
  </si>
  <si>
    <t>2 -  mapping of new behaviour score for ECB from PCCM source</t>
  </si>
  <si>
    <t>main_banking_driver_partitions</t>
  </si>
  <si>
    <t>1 -new columns for ECB separation for application, including new behaviour score fields for both UK and ecb due to datatype change</t>
  </si>
  <si>
    <t>application_score_ecb</t>
  </si>
  <si>
    <t>application_score_id_ecb</t>
  </si>
  <si>
    <t>behaviour_scorecard_id_ecb</t>
  </si>
  <si>
    <t>behaviour_scorecard_value_ecb</t>
  </si>
  <si>
    <t>behaviour_scorecard_id_uk (only used with PRA sunsetting release)</t>
  </si>
  <si>
    <t>behaviour_scorecard_value_uk (only used with PRA sunsetting release)</t>
  </si>
  <si>
    <t>note - mapping change for collections_entry balance amt from common layer contract_account_partitions (already included in irb2.1 prod release June2025)</t>
  </si>
  <si>
    <t>application_banking_partitions</t>
  </si>
  <si>
    <t>1- new columns, dependent on PCSM change</t>
  </si>
  <si>
    <t>banking_irb2_model_ecb_partitions</t>
  </si>
  <si>
    <t>1- change mapping for Behaviour_score fields  to behaviour_scorecard_value_ecb, change mapping for application score fields to application_score_ecb</t>
  </si>
  <si>
    <t>2 - code changes as specified by methodology</t>
  </si>
  <si>
    <t>main_internal_rating_partitions</t>
  </si>
  <si>
    <t>ES model is decommisioned and mappings to es model have been removed.</t>
  </si>
  <si>
    <t xml:space="preserve">UPL  </t>
  </si>
  <si>
    <t>application_loan_partitions</t>
  </si>
  <si>
    <t>1. new columns for ECB version of applications and new columns for Risk version of applications.</t>
  </si>
  <si>
    <t>application_score_id_ecb,</t>
  </si>
  <si>
    <t> application_score_ecb</t>
  </si>
  <si>
    <t>upl_bh_score_model_partitions</t>
  </si>
  <si>
    <t>1 - add new partition for new column 'model' so that PRA and ECB will have their own partitions</t>
  </si>
  <si>
    <t>2 - change mapping to use bureau_reference_partitions as source</t>
  </si>
  <si>
    <t xml:space="preserve">main_UPL_driver </t>
  </si>
  <si>
    <t>1 - new columns for separation of PRA an ECB</t>
  </si>
  <si>
    <t>2 - Map new ECB columns  from new ECB columns in application_loan_partitions from PCSM</t>
  </si>
  <si>
    <t>upl_irb2_model_ecb_partitions</t>
  </si>
  <si>
    <t>1 - Change source of bh_score to upl_bh_score_model with filter on model=es</t>
  </si>
  <si>
    <t>2 - change mapping to use common layer table bureau_reference_partitions instead of raw ingested V11 file as source</t>
  </si>
  <si>
    <t>note - UPL LGD multiplier *1.1 included from IRB2.1 integration release</t>
  </si>
  <si>
    <t>no change from methodology to code</t>
  </si>
  <si>
    <t>T01a - prod_retail_decisioning_enriched.behavioural_scoring_partitions regression testing with existing columns</t>
  </si>
  <si>
    <t>Results Comparison</t>
  </si>
  <si>
    <t>PROD DC2</t>
  </si>
  <si>
    <t>date_processed</t>
  </si>
  <si>
    <t>src_account_referencecount</t>
  </si>
  <si>
    <t>tgt_account_referencecount</t>
  </si>
  <si>
    <t>account_reference_count</t>
  </si>
  <si>
    <t>contract_id_count</t>
  </si>
  <si>
    <t>avge_cto_3_mnth_amt_count</t>
  </si>
  <si>
    <t>avge_cto_6_mnth_amt_count</t>
  </si>
  <si>
    <t>dormant_days_cnt_count</t>
  </si>
  <si>
    <t>min_cto_last_12_mnth_amt_count</t>
  </si>
  <si>
    <t>stdev_days_since_cr_3_mnth_val_count</t>
  </si>
  <si>
    <t>avge_dr_12_mnth_cnt_count</t>
  </si>
  <si>
    <t>total_cto_3_mnth_amt_count</t>
  </si>
  <si>
    <t>avge_dto_6_mnth_amt_count</t>
  </si>
  <si>
    <t>cto_in_period_amt_count</t>
  </si>
  <si>
    <t>max_cr_6_mnth_cnt_count</t>
  </si>
  <si>
    <t>dto_in_period_amt_count</t>
  </si>
  <si>
    <t>max_beh_score_odft_amt_count</t>
  </si>
  <si>
    <t>new_performance_id_count</t>
  </si>
  <si>
    <t>max_mths_excess_12_mnth_cnt_count</t>
  </si>
  <si>
    <t>max_days_excess_12_mnth_cnt_count</t>
  </si>
  <si>
    <t>avge_5_low_cto_6_mnth_amt_count</t>
  </si>
  <si>
    <t>overdraft_excess_days_cnt_count</t>
  </si>
  <si>
    <t>last_sgnft_cr_trn_days_cnt_count</t>
  </si>
  <si>
    <t>overdraft_excess_amt_count</t>
  </si>
  <si>
    <t>min_bal_in_period_amt_count</t>
  </si>
  <si>
    <t>time_on_books_mnth_cnt_count</t>
  </si>
  <si>
    <t>fids_account_status_count</t>
  </si>
  <si>
    <t>highest_card_typ_count</t>
  </si>
  <si>
    <t>behaviour_score_value_count</t>
  </si>
  <si>
    <t>behaviour_scorecard_id_count</t>
  </si>
  <si>
    <t>behaviour_score_date_count</t>
  </si>
  <si>
    <t>new_performance_id_2_count</t>
  </si>
  <si>
    <t>spid_count</t>
  </si>
  <si>
    <t>preferred_card_type_count</t>
  </si>
  <si>
    <t>preferred_overdraft_count</t>
  </si>
  <si>
    <t>max_card_type_count</t>
  </si>
  <si>
    <t>pencil_limit_count</t>
  </si>
  <si>
    <t>customer_age_count</t>
  </si>
  <si>
    <t>avge_balance_count</t>
  </si>
  <si>
    <t>max_balance_count</t>
  </si>
  <si>
    <t>min_overdraft_utilisation_count</t>
  </si>
  <si>
    <t>debits_in_current_mnth_cnt_count</t>
  </si>
  <si>
    <t>min_min_bal_last_6_mnth_amt_count</t>
  </si>
  <si>
    <t>min_dto_last_6_mnth_amt_count</t>
  </si>
  <si>
    <t>max_cto_last_6_mnth_amt_count</t>
  </si>
  <si>
    <t>exclusion_rsn_cde_count</t>
  </si>
  <si>
    <t>fids_risk_score_count</t>
  </si>
  <si>
    <t>max_days_excess_1_count</t>
  </si>
  <si>
    <t>max_days_excess_2_count</t>
  </si>
  <si>
    <t>max_days_excess_3_count</t>
  </si>
  <si>
    <t>excess_amt_count</t>
  </si>
  <si>
    <t>written_off_amt_count</t>
  </si>
  <si>
    <t>delphi_bankruptcy_ind_count</t>
  </si>
  <si>
    <t>partenon_sub_product_count</t>
  </si>
  <si>
    <t>banking_score_count</t>
  </si>
  <si>
    <t>effective_date_count</t>
  </si>
  <si>
    <t>date_processed_count</t>
  </si>
  <si>
    <t>Match%</t>
  </si>
  <si>
    <t>PRE</t>
  </si>
  <si>
    <t>Logic Check Code</t>
  </si>
  <si>
    <t>PROD DC2 EXPLORATION AREA</t>
  </si>
  <si>
    <t>select src.date_processed, 
count(src.account_reference) src_account_referencecount,
count(tgt.account_reference) tgt_account_referencecount,
count(src.account_reference)-sum(case when (src.account_reference = tgt.account_reference) or (src.account_reference is null and tgt.account_reference  is null ) then 1 else 0 end) account_reference_count,
count(src.account_reference)-sum(case when (src.contract_id = tgt.contract_id) or (src.contract_id is null and tgt.contract_id  is null ) then 1 else 0 end) contract_id_count,
count(src.account_reference)-sum(case when (src.avge_cto_3_mnth_amt = tgt.avge_cto_3_mnth_amt) or (src.avge_cto_3_mnth_amt is null and tgt.avge_cto_3_mnth_amt  is null ) then 1 else 0 end) avge_cto_3_mnth_amt_count,
count(src.account_reference)-sum(case when (src.avge_cto_6_mnth_amt = tgt.avge_cto_6_mnth_amt) or (src.avge_cto_6_mnth_amt is null and tgt.avge_cto_6_mnth_amt  is null ) then 1 else 0 end) avge_cto_6_mnth_amt_count,
count(src.account_reference)-sum(case when (src.dormant_days_cnt = tgt.dormant_days_cnt) or (src.dormant_days_cnt is null and tgt.dormant_days_cnt  is null ) then 1 else 0 end) dormant_days_cnt_count,
count(src.account_reference)-sum(case when (src.min_cto_last_12_mnth_amt = tgt.min_cto_last_12_mnth_amt) or (src.min_cto_last_12_mnth_amt is null and tgt.min_cto_last_12_mnth_amt  is null ) then 1 else 0 end) min_cto_last_12_mnth_amt_count,
count(src.account_reference)-sum(case when (src.stdev_days_since_cr_3_mnth_val = tgt.stdev_days_since_cr_3_mnth_val) or (src.stdev_days_since_cr_3_mnth_val is null and tgt.stdev_days_since_cr_3_mnth_val  is null ) then 1 else 0 end) stdev_days_since_cr_3_mnth_val_count,
count(src.account_reference)-sum(case when (src.avge_dr_12_mnth_cnt = tgt.avge_dr_12_mnth_cnt) or (src.avge_dr_12_mnth_cnt is null and tgt.avge_dr_12_mnth_cnt  is null ) then 1 else 0 end) avge_dr_12_mnth_cnt_count,
count(src.account_reference)-sum(case when (src.total_cto_3_mnth_amt = tgt.total_cto_3_mnth_amt) or (src.total_cto_3_mnth_amt is null and tgt.total_cto_3_mnth_amt  is null ) then 1 else 0 end) total_cto_3_mnth_amt_count,
count(src.account_reference)-sum(case when (src.avge_dto_6_mnth_amt = tgt.avge_dto_6_mnth_amt) or (src.avge_dto_6_mnth_amt is null and tgt.avge_dto_6_mnth_amt  is null ) then 1 else 0 end) avge_dto_6_mnth_amt_count,
count(src.account_reference)-sum(case when (src.cto_in_period_amt = tgt.cto_in_period_amt) or (src.cto_in_period_amt is null and tgt.cto_in_period_amt  is null ) then 1 else 0 end) cto_in_period_amt_count,
count(src.account_reference)-sum(case when (src.max_cr_6_mnth_cnt = tgt.max_cr_6_mnth_cnt) or (src.max_cr_6_mnth_cnt is null and tgt.max_cr_6_mnth_cnt  is null ) then 1 else 0 end) max_cr_6_mnth_cnt_count,
count(src.account_reference)-sum(case when (src.dto_in_period_amt = tgt.dto_in_period_amt) or (src.dto_in_period_amt is null and tgt.dto_in_period_amt  is null ) then 1 else 0 end) dto_in_period_amt_count,
count(src.account_reference)-sum(case when (src.max_beh_score_odft_amt = tgt.max_beh_score_odft_amt) or (src.max_beh_score_odft_amt is null and tgt.max_beh_score_odft_amt  is null ) then 1 else 0 end) max_beh_score_odft_amt_count,
count(src.account_reference)-sum(case when (src.new_performance_id = tgt.new_performance_id) or (src.new_performance_id is null and tgt.new_performance_id  is null ) then 1 else 0 end) new_performance_id_count,
count(src.account_reference)-sum(case when (src.max_mths_excess_12_mnth_cnt = tgt.max_mths_excess_12_mnth_cnt) or (src.max_mths_excess_12_mnth_cnt is null and tgt.max_mths_excess_12_mnth_cnt  is null ) then 1 else 0 end) max_mths_excess_12_mnth_cnt_count,
count(src.account_reference)-sum(case when (src.max_days_excess_12_mnth_cnt = tgt.max_days_excess_12_mnth_cnt) or (src.max_days_excess_12_mnth_cnt is null and tgt.max_days_excess_12_mnth_cnt  is null ) then 1 else 0 end) max_days_excess_12_mnth_cnt_count,
count(src.account_reference)-sum(case when (src.avge_5_low_cto_6_mnth_amt = tgt.avge_5_low_cto_6_mnth_amt) or (src.avge_5_low_cto_6_mnth_amt is null and tgt.avge_5_low_cto_6_mnth_amt  is null ) then 1 else 0 end) avge_5_low_cto_6_mnth_amt_count,
count(src.account_reference)-sum(case when (src.overdraft_excess_days_cnt = tgt.overdraft_excess_days_cnt) or (src.overdraft_excess_days_cnt is null and tgt.overdraft_excess_days_cnt  is null ) then 1 else 0 end) overdraft_excess_days_cnt_count,
count(src.account_reference)-sum(case when (src.last_sgnft_cr_trn_days_cnt = tgt.last_sgnft_cr_trn_days_cnt) or (src.last_sgnft_cr_trn_days_cnt is null and tgt.last_sgnft_cr_trn_days_cnt  is null ) then 1 else 0 end) last_sgnft_cr_trn_days_cnt_count,
count(src.account_reference)-sum(case when (src.overdraft_excess_amt = tgt.overdraft_excess_amt) or (src.overdraft_excess_amt is null and tgt.overdraft_excess_amt  is null ) then 1 else 0 end) overdraft_excess_amt_count,
count(src.account_reference)-sum(case when (src.min_bal_in_period_amt = tgt.min_bal_in_period_amt) or (src.min_bal_in_period_amt is null and tgt.min_bal_in_period_amt  is null ) then 1 else 0 end) min_bal_in_period_amt_count,
count(src.account_reference)-sum(case when (src.time_on_books_mnth_cnt = tgt.time_on_books_mnth_cnt) or (src.time_on_books_mnth_cnt is null and tgt.time_on_books_mnth_cnt  is null ) then 1 else 0 end) time_on_books_mnth_cnt_count,
count(src.account_reference)-sum(case when (src.fids_account_status = tgt.fids_account_status) or (src.fids_account_status is null and tgt.fids_account_status  is null ) then 1 else 0 end) fids_account_status_count,
count(src.account_reference)-sum(case when (src.highest_card_typ = tgt.highest_card_typ) or (src.highest_card_typ is null and tgt.highest_card_typ  is null ) then 1 else 0 end) highest_card_typ_count,
count(src.account_reference)-sum(case when (src.behaviour_score_value = tgt.behaviour_score_value) or (src.behaviour_score_value is null and tgt.behaviour_score_value  is null ) then 1 else 0 end) behaviour_score_value_count,
count(src.account_reference)-sum(case when (src.behaviour_scorecard_id = tgt.behaviour_scorecard_id) or (src.behaviour_scorecard_id is null and tgt.behaviour_scorecard_id  is null ) then 1 else 0 end) behaviour_scorecard_id_count,
count(src.account_reference)-sum(case when (src.behaviour_score_date = tgt.behaviour_score_date) or (src.behaviour_score_date is null and tgt.behaviour_score_date  is null ) then 1 else 0 end) behaviour_score_date_count,
count(src.account_reference)-sum(case when (src.new_performance_id_2 = tgt.new_performance_id_2) or (src.new_performance_id_2 is null and tgt.new_performance_id_2  is null ) then 1 else 0 end) new_performance_id_2_count,
count(src.account_reference)-sum(case when (src.spid = tgt.spid) or (src.spid is null and tgt.spid  is null ) then 1 else 0 end) spid_count,
count(src.account_reference)-sum(case when (src.preferred_card_type = tgt.preferred_card_type) or (src.preferred_card_type is null and tgt.preferred_card_type  is null ) then 1 else 0 end) preferred_card_type_count,
count(src.account_reference)-sum(case when (src.preferred_overdraft = tgt.preferred_overdraft) or (src.preferred_overdraft is null and tgt.preferred_overdraft  is null ) then 1 else 0 end) preferred_overdraft_count,
count(src.account_reference)-sum(case when (src.max_card_type = tgt.max_card_type) or (src.max_card_type is null and tgt.max_card_type  is null ) then 1 else 0 end) max_card_type_count,
count(src.account_reference)-sum(case when (src.pencil_limit = tgt.pencil_limit) or (src.pencil_limit is null and tgt.pencil_limit  is null ) then 1 else 0 end) pencil_limit_count,
count(src.account_reference)-sum(case when (src.customer_age = tgt.customer_age) or (src.customer_age is null and tgt.customer_age  is null ) then 1 else 0 end) customer_age_count,
count(src.account_reference)-sum(case when (src.avge_balance = tgt.avge_balance) or (src.avge_balance is null and tgt.avge_balance  is null ) then 1 else 0 end) avge_balance_count,
count(src.account_reference)-sum(case when (src.max_balance = tgt.max_balance) or (src.max_balance is null and tgt.max_balance  is null ) then 1 else 0 end) max_balance_count,
count(src.account_reference)-sum(case when (src.min_overdraft_utilisation = tgt.min_overdraft_utilisation) or (src.min_overdraft_utilisation is null and tgt.min_overdraft_utilisation  is null ) then 1 else 0 end) min_overdraft_utilisation_count,
count(src.account_reference)-sum(case when (src.debits_in_current_mnth_cnt = tgt.debits_in_current_mnth_cnt) or (src.debits_in_current_mnth_cnt is null and tgt.debits_in_current_mnth_cnt  is null ) then 1 else 0 end) debits_in_current_mnth_cnt_count,
count(src.account_reference)-sum(case when (src.min_min_bal_last_6_mnth_amt = tgt.min_min_bal_last_6_mnth_amt) or (src.min_min_bal_last_6_mnth_amt is null and tgt.min_min_bal_last_6_mnth_amt  is null ) then 1 else 0 end) min_min_bal_last_6_mnth_amt_count,
count(src.account_reference)-sum(case when (src.min_dto_last_6_mnth_amt = tgt.min_dto_last_6_mnth_amt) or (src.min_dto_last_6_mnth_amt is null and tgt.min_dto_last_6_mnth_amt  is null ) then 1 else 0 end) min_dto_last_6_mnth_amt_count,
count(src.account_reference)-sum(case when (src.max_cto_last_6_mnth_amt = tgt.max_cto_last_6_mnth_amt) or (src.max_cto_last_6_mnth_amt is null and tgt.max_cto_last_6_mnth_amt  is null ) then 1 else 0 end) max_cto_last_6_mnth_amt_count,
count(src.account_reference)-sum(case when (src.exclusion_rsn_cde = tgt.exclusion_rsn_cde) or (src.exclusion_rsn_cde is null and tgt.exclusion_rsn_cde  is null ) then 1 else 0 end) exclusion_rsn_cde_count,
count(src.account_reference)-sum(case when (src.fids_risk_score = tgt.fids_risk_score) or (src.fids_risk_score is null and tgt.fids_risk_score  is null ) then 1 else 0 end) fids_risk_score_count,
count(src.account_reference)-sum(case when (src.max_days_excess_1 = tgt.max_days_excess_1) or (src.max_days_excess_1 is null and tgt.max_days_excess_1  is null ) then 1 else 0 end) max_days_excess_1_count,
count(src.account_reference)-sum(case when (src.max_days_excess_2 = tgt.max_days_excess_2) or (src.max_days_excess_2 is null and tgt.max_days_excess_2  is null ) then 1 else 0 end) max_days_excess_2_count,
count(src.account_reference)-sum(case when (src.max_days_excess_3 = tgt.max_days_excess_3) or (src.max_days_excess_3 is null and tgt.max_days_excess_3  is null ) then 1 else 0 end) max_days_excess_3_count,
count(src.account_reference)-sum(case when (src.excess_amt = tgt.excess_amt) or (src.excess_amt is null and tgt.excess_amt  is null ) then 1 else 0 end) excess_amt_count,
count(src.account_reference)-sum(case when (src.written_off_amt = tgt.written_off_amt) or (src.written_off_amt is null and tgt.written_off_amt  is null ) then 1 else 0 end) written_off_amt_count,
count(src.account_reference)-sum(case when (src.delphi_bankruptcy_ind = tgt.delphi_bankruptcy_ind) or (src.delphi_bankruptcy_ind is null and tgt.delphi_bankruptcy_ind  is null ) then 1 else 0 end) delphi_bankruptcy_ind_count,
count(src.account_reference)-sum(case when (src.partenon_sub_product = tgt.partenon_sub_product) or (src.partenon_sub_product is null and tgt.partenon_sub_product  is null ) then 1 else 0 end) partenon_sub_product_count,
count(src.account_reference)-sum(case when (src.banking_score = tgt.banking_score) or (src.banking_score is null and tgt.banking_score  is null ) then 1 else 0 end) banking_score_count,
count(src.account_reference)-sum(case when (src.effective_date = tgt.effective_date) or (src.effective_date is null and tgt.effective_date  is null ) then 1 else 0 end) effective_date_count,
count(src.account_reference)-sum(case when (src.date_processed = tgt.date_processed) or (src.date_processed is null and tgt.date_processed  is null ) then 1 else 0 end) date_processed_count
from
(select * from retail_decisioning_enriched.behavioural_scoring_partitions
where date_processed = '2024-12-31') src
full outer join
(select * from exp_capital_team.behavioural_scoring_partitions
where date_processed = '2024-12-31') tgt
on src.account_reference = tgt.account_reference
group by src.date_processed</t>
  </si>
  <si>
    <t>PRE PRODUCTION</t>
  </si>
  <si>
    <t>select src.date_processed, 
count(src.account_reference) src_account_referencecount,
count(tgt.account_reference) tgt_account_referencecount,
count(src.account_reference)-sum(case when (src.account_reference = tgt.account_reference) or (src.account_reference is null and tgt.account_reference  is null ) then 1 else 0 end) account_reference_count,
count(src.account_reference)-sum(case when (src.contract_id = tgt.contract_id) or (src.contract_id is null and tgt.contract_id  is null ) then 1 else 0 end) contract_id_count,
count(src.account_reference)-sum(case when (src.avge_cto_3_mnth_amt = tgt.avge_cto_3_mnth_amt) or (src.avge_cto_3_mnth_amt is null and tgt.avge_cto_3_mnth_amt  is null ) then 1 else 0 end) avge_cto_3_mnth_amt_count,
count(src.account_reference)-sum(case when (src.avge_cto_6_mnth_amt = tgt.avge_cto_6_mnth_amt) or (src.avge_cto_6_mnth_amt is null and tgt.avge_cto_6_mnth_amt  is null ) then 1 else 0 end) avge_cto_6_mnth_amt_count,
count(src.account_reference)-sum(case when (src.dormant_days_cnt = tgt.dormant_days_cnt) or (src.dormant_days_cnt is null and tgt.dormant_days_cnt  is null ) then 1 else 0 end) dormant_days_cnt_count,
count(src.account_reference)-sum(case when (src.min_cto_last_12_mnth_amt = tgt.min_cto_last_12_mnth_amt) or (src.min_cto_last_12_mnth_amt is null and tgt.min_cto_last_12_mnth_amt  is null ) then 1 else 0 end) min_cto_last_12_mnth_amt_count,
count(src.account_reference)-sum(case when (src.stdev_days_since_cr_3_mnth_val = tgt.stdev_days_since_cr_3_mnth_val) or (src.stdev_days_since_cr_3_mnth_val is null and tgt.stdev_days_since_cr_3_mnth_val  is null ) then 1 else 0 end) stdev_days_since_cr_3_mnth_val_count,
count(src.account_reference)-sum(case when (src.avge_dr_12_mnth_cnt = tgt.avge_dr_12_mnth_cnt) or (src.avge_dr_12_mnth_cnt is null and tgt.avge_dr_12_mnth_cnt  is null ) then 1 else 0 end) avge_dr_12_mnth_cnt_count,
count(src.account_reference)-sum(case when (src.total_cto_3_mnth_amt = tgt.total_cto_3_mnth_amt) or (src.total_cto_3_mnth_amt is null and tgt.total_cto_3_mnth_amt  is null ) then 1 else 0 end) total_cto_3_mnth_amt_count,
count(src.account_reference)-sum(case when (src.avge_dto_6_mnth_amt = tgt.avge_dto_6_mnth_amt) or (src.avge_dto_6_mnth_amt is null and tgt.avge_dto_6_mnth_amt  is null ) then 1 else 0 end) avge_dto_6_mnth_amt_count,
count(src.account_reference)-sum(case when (src.cto_in_period_amt = tgt.cto_in_period_amt) or (src.cto_in_period_amt is null and tgt.cto_in_period_amt  is null ) then 1 else 0 end) cto_in_period_amt_count,
count(src.account_reference)-sum(case when (src.max_cr_6_mnth_cnt = tgt.max_cr_6_mnth_cnt) or (src.max_cr_6_mnth_cnt is null and tgt.max_cr_6_mnth_cnt  is null ) then 1 else 0 end) max_cr_6_mnth_cnt_count,
count(src.account_reference)-sum(case when (src.dto_in_period_amt = tgt.dto_in_period_amt) or (src.dto_in_period_amt is null and tgt.dto_in_period_amt  is null ) then 1 else 0 end) dto_in_period_amt_count,
count(src.account_reference)-sum(case when (src.max_beh_score_odft_amt = tgt.max_beh_score_odft_amt) or (src.max_beh_score_odft_amt is null and tgt.max_beh_score_odft_amt  is null ) then 1 else 0 end) max_beh_score_odft_amt_count,
count(src.account_reference)-sum(case when (src.new_performance_id = tgt.new_performance_id) or (src.new_performance_id is null and tgt.new_performance_id  is null ) then 1 else 0 end) new_performance_id_count,
count(src.account_reference)-sum(case when (src.max_mths_excess_12_mnth_cnt = tgt.max_mths_excess_12_mnth_cnt) or (src.max_mths_excess_12_mnth_cnt is null and tgt.max_mths_excess_12_mnth_cnt  is null ) then 1 else 0 end) max_mths_excess_12_mnth_cnt_count,
count(src.account_reference)-sum(case when (src.max_days_excess_12_mnth_cnt = tgt.max_days_excess_12_mnth_cnt) or (src.max_days_excess_12_mnth_cnt is null and tgt.max_days_excess_12_mnth_cnt  is null ) then 1 else 0 end) max_days_excess_12_mnth_cnt_count,
count(src.account_reference)-sum(case when (src.avge_5_low_cto_6_mnth_amt = tgt.avge_5_low_cto_6_mnth_amt) or (src.avge_5_low_cto_6_mnth_amt is null and tgt.avge_5_low_cto_6_mnth_amt  is null ) then 1 else 0 end) avge_5_low_cto_6_mnth_amt_count,
count(src.account_reference)-sum(case when (src.overdraft_excess_days_cnt = tgt.overdraft_excess_days_cnt) or (src.overdraft_excess_days_cnt is null and tgt.overdraft_excess_days_cnt  is null ) then 1 else 0 end) overdraft_excess_days_cnt_count,
count(src.account_reference)-sum(case when (src.last_sgnft_cr_trn_days_cnt = tgt.last_sgnft_cr_trn_days_cnt) or (src.last_sgnft_cr_trn_days_cnt is null and tgt.last_sgnft_cr_trn_days_cnt  is null ) then 1 else 0 end) last_sgnft_cr_trn_days_cnt_count,
count(src.account_reference)-sum(case when (src.overdraft_excess_amt = tgt.overdraft_excess_amt) or (src.overdraft_excess_amt is null and tgt.overdraft_excess_amt  is null ) then 1 else 0 end) overdraft_excess_amt_count,
count(src.account_reference)-sum(case when (src.min_bal_in_period_amt = tgt.min_bal_in_period_amt) or (src.min_bal_in_period_amt is null and tgt.min_bal_in_period_amt  is null ) then 1 else 0 end) min_bal_in_period_amt_count,
count(src.account_reference)-sum(case when (src.time_on_books_mnth_cnt = tgt.time_on_books_mnth_cnt) or (src.time_on_books_mnth_cnt is null and tgt.time_on_books_mnth_cnt  is null ) then 1 else 0 end) time_on_books_mnth_cnt_count,
count(src.account_reference)-sum(case when (src.fids_account_status = tgt.fids_account_status) or (src.fids_account_status is null and tgt.fids_account_status  is null ) then 1 else 0 end) fids_account_status_count,
count(src.account_reference)-sum(case when (src.highest_card_typ = tgt.highest_card_typ) or (src.highest_card_typ is null and tgt.highest_card_typ  is null ) then 1 else 0 end) highest_card_typ_count,
count(src.account_reference)-sum(case when (src.behaviour_score_value = tgt.behaviour_score_value) or (src.behaviour_score_value is null and tgt.behaviour_score_value  is null ) then 1 else 0 end) behaviour_score_value_count,
count(src.account_reference)-sum(case when (src.behaviour_scorecard_id = tgt.behaviour_scorecard_id) or (src.behaviour_scorecard_id is null and tgt.behaviour_scorecard_id  is null ) then 1 else 0 end) behaviour_scorecard_id_count,
count(src.account_reference)-sum(case when (src.behaviour_score_date = tgt.behaviour_score_date) or (src.behaviour_score_date is null and tgt.behaviour_score_date  is null ) then 1 else 0 end) behaviour_score_date_count,
count(src.account_reference)-sum(case when (src.new_performance_id_2 = tgt.new_performance_id_2) or (src.new_performance_id_2 is null and tgt.new_performance_id_2  is null ) then 1 else 0 end) new_performance_id_2_count,
count(src.account_reference)-sum(case when (src.spid = tgt.spid) or (src.spid is null and tgt.spid  is null ) then 1 else 0 end) spid_count,
count(src.account_reference)-sum(case when (src.preferred_card_type = tgt.preferred_card_type) or (src.preferred_card_type is null and tgt.preferred_card_type  is null ) then 1 else 0 end) preferred_card_type_count,
count(src.account_reference)-sum(case when (src.preferred_overdraft = tgt.preferred_overdraft) or (src.preferred_overdraft is null and tgt.preferred_overdraft  is null ) then 1 else 0 end) preferred_overdraft_count,
count(src.account_reference)-sum(case when (src.max_card_type = tgt.max_card_type) or (src.max_card_type is null and tgt.max_card_type  is null ) then 1 else 0 end) max_card_type_count,
count(src.account_reference)-sum(case when (src.pencil_limit = tgt.pencil_limit) or (src.pencil_limit is null and tgt.pencil_limit  is null ) then 1 else 0 end) pencil_limit_count,
count(src.account_reference)-sum(case when (src.customer_age = tgt.customer_age) or (src.customer_age is null and tgt.customer_age  is null ) then 1 else 0 end) customer_age_count,
count(src.account_reference)-sum(case when (src.avge_balance = tgt.avge_balance) or (src.avge_balance is null and tgt.avge_balance  is null ) then 1 else 0 end) avge_balance_count,
count(src.account_reference)-sum(case when (src.max_balance = tgt.max_balance) or (src.max_balance is null and tgt.max_balance  is null ) then 1 else 0 end) max_balance_count,
count(src.account_reference)-sum(case when (src.min_overdraft_utilisation = tgt.min_overdraft_utilisation) or (src.min_overdraft_utilisation is null and tgt.min_overdraft_utilisation  is null ) then 1 else 0 end) min_overdraft_utilisation_count,
count(src.account_reference)-sum(case when (src.debits_in_current_mnth_cnt = tgt.debits_in_current_mnth_cnt) or (src.debits_in_current_mnth_cnt is null and tgt.debits_in_current_mnth_cnt  is null ) then 1 else 0 end) debits_in_current_mnth_cnt_count,
count(src.account_reference)-sum(case when (src.min_min_bal_last_6_mnth_amt = tgt.min_min_bal_last_6_mnth_amt) or (src.min_min_bal_last_6_mnth_amt is null and tgt.min_min_bal_last_6_mnth_amt  is null ) then 1 else 0 end) min_min_bal_last_6_mnth_amt_count,
count(src.account_reference)-sum(case when (src.min_dto_last_6_mnth_amt = tgt.min_dto_last_6_mnth_amt) or (src.min_dto_last_6_mnth_amt is null and tgt.min_dto_last_6_mnth_amt  is null ) then 1 else 0 end) min_dto_last_6_mnth_amt_count,
count(src.account_reference)-sum(case when (src.max_cto_last_6_mnth_amt = tgt.max_cto_last_6_mnth_amt) or (src.max_cto_last_6_mnth_amt is null and tgt.max_cto_last_6_mnth_amt  is null ) then 1 else 0 end) max_cto_last_6_mnth_amt_count,
count(src.account_reference)-sum(case when (src.exclusion_rsn_cde = tgt.exclusion_rsn_cde) or (src.exclusion_rsn_cde is null and tgt.exclusion_rsn_cde  is null ) then 1 else 0 end) exclusion_rsn_cde_count,
count(src.account_reference)-sum(case when (src.fids_risk_score = tgt.fids_risk_score) or (src.fids_risk_score is null and tgt.fids_risk_score  is null ) then 1 else 0 end) fids_risk_score_count,
count(src.account_reference)-sum(case when (src.max_days_excess_1 = tgt.max_days_excess_1) or (src.max_days_excess_1 is null and tgt.max_days_excess_1  is null ) then 1 else 0 end) max_days_excess_1_count,
count(src.account_reference)-sum(case when (src.max_days_excess_2 = tgt.max_days_excess_2) or (src.max_days_excess_2 is null and tgt.max_days_excess_2  is null ) then 1 else 0 end) max_days_excess_2_count,
count(src.account_reference)-sum(case when (src.max_days_excess_3 = tgt.max_days_excess_3) or (src.max_days_excess_3 is null and tgt.max_days_excess_3  is null ) then 1 else 0 end) max_days_excess_3_count,
count(src.account_reference)-sum(case when (src.excess_amt = tgt.excess_amt) or (src.excess_amt is null and tgt.excess_amt  is null ) then 1 else 0 end) excess_amt_count,
count(src.account_reference)-sum(case when (src.written_off_amt = tgt.written_off_amt) or (src.written_off_amt is null and tgt.written_off_amt  is null ) then 1 else 0 end) written_off_amt_count,
count(src.account_reference)-sum(case when (src.delphi_bankruptcy_ind = tgt.delphi_bankruptcy_ind) or (src.delphi_bankruptcy_ind is null and tgt.delphi_bankruptcy_ind  is null ) then 1 else 0 end) delphi_bankruptcy_ind_count,
count(src.account_reference)-sum(case when (src.partenon_sub_product = tgt.partenon_sub_product) or (src.partenon_sub_product is null and tgt.partenon_sub_product  is null ) then 1 else 0 end) partenon_sub_product_count,
count(src.account_reference)-sum(case when (src.banking_score = tgt.banking_score) or (src.banking_score is null and tgt.banking_score  is null ) then 1 else 0 end) banking_score_count,
count(src.account_reference)-sum(case when (src.effective_date = tgt.effective_date) or (src.effective_date is null and tgt.effective_date  is null ) then 1 else 0 end) effective_date_count,
count(src.account_reference)-sum(case when (src.date_processed = tgt.date_processed) or (src.date_processed is null and tgt.date_processed  is null ) then 1 else 0 end) date_processed_count
from
(select * from exp_capital_team.behavioural_scoring_partitions
where date_processed = '2024-12-31') src
full outer join
(select * from prod_retail_decisioning_enriched.behavioural_scoring_partitions
where date_processed = '2024-12-31') tgt
on src.account_reference = tgt.account_reference
group by src.date_processed</t>
  </si>
  <si>
    <t>SKAKEDOWN PROD DC1 ACM1</t>
  </si>
  <si>
    <t>SHAKEDOWN PROD DC1 ACM2</t>
  </si>
  <si>
    <t>No Match Analysis</t>
  </si>
  <si>
    <t>Logic Code</t>
  </si>
  <si>
    <t>T01b - prod_retail_decisioning_enriched.behavioural_scoring_partitions logic testing for new columns in pre</t>
  </si>
  <si>
    <t>behaviour_score_value_ecb_count</t>
  </si>
  <si>
    <t>behaviour_scorecard_id_ecb_count</t>
  </si>
  <si>
    <t>scorecard_dormancy_flag_count</t>
  </si>
  <si>
    <t>scorecard_colls_exclusion_flag_count</t>
  </si>
  <si>
    <t>account_status_count</t>
  </si>
  <si>
    <t>product_grouping_count</t>
  </si>
  <si>
    <t>deceased_flag_count</t>
  </si>
  <si>
    <t>scorecard_bad_flag_count</t>
  </si>
  <si>
    <t>select
src.date_processed,
count(src.account_reference) src_account_referencecount,
count(tgt.account_reference) tgt_account_referencecount,
count(src.account_reference)-sum(case when (src.account_reference = tgt.account_reference) or (src.account_reference is null and tgt.account_reference  is null ) then 1 else 0 end) account_reference_count,
count(src.account_reference)-sum(case when (src.behaviour_score_value_ECB = tgt.behaviour_score_value_ECB) or (src.behaviour_score_value_ECB is null and tgt.behaviour_score_value_ECB  is null ) then 1 else 0 end) behaviour_score_value_ECB_count,
count(src.account_reference)-sum(case when (src.behaviour_scorecard_id_ECB = tgt.behaviour_scorecard_id_ECB) or (src.behaviour_scorecard_id_ECB is null and tgt.behaviour_scorecard_id_ECB  is null ) then 1 else 0 end) behaviour_scorecard_id_ECB_count,
count(src.account_reference)-sum(case when (src.scorecard_dormancy_flag = tgt.scorecard_dormancy_flag) or (src.scorecard_dormancy_flag is null and tgt.scorecard_dormancy_flag  is null ) then 1 else 0 end) scorecard_dormancy_flag_count,
count(src.account_reference)-sum(case when (src.scorecard_colls_exclusion_flag = tgt.scorecard_colls_exclusion_flag) or (src.scorecard_colls_exclusion_flag is null and tgt.scorecard_colls_exclusion_flag  is null ) then 1 else 0 end) scorecard_colls_exclusion_flag_count,
count(src.account_reference)-sum(case when (src.account_status = tgt.account_status) or (src.account_status is null and tgt.account_status  is null ) then 1 else 0 end) account_status_count,
count(src.account_reference)-sum(case when (src.product_grouping = tgt.product_grouping) or (src.product_grouping is null and tgt.product_grouping  is null ) then 1 else 0 end) product_grouping_count,
count(src.account_reference)-sum(case when (src.deceased_flag = tgt.deceased_flag) or (src.deceased_flag is null and tgt.deceased_flag  is null ) then 1 else 0 end) deceased_flag_count,
count(src.account_reference)-sum(case when (src.scorecard_bad_flag = tgt.scorecard_bad_flag) or (src.scorecard_bad_flag is null and tgt.scorecard_bad_flag  is null ) then 1 else 0 end) scorecard_bad_flag_count
from
(select
date_processed,
account_reference,
behaviour_score_value_ecb,
behaviour_scorecard_id_ecb,
scorecard_dormancy_flag, 
scorecard_colls_exclusion_flag, 
account_status, 
product_grouping,
deceased_flag,
scorecard_bad_flag
from prod_retail_decisioning_enriched.behavioural_scoring_partitions
where date_processed = '2024-12-31') src
full outer join
(select * from
(select account_reference, 
contract_id,
cast(otcacads_behaviour_score as int) as behaviour_score_value_ecb,
cast(otcacads_behaviour_scorecard_id as int) as behaviour_scorecard_id_ecb
from
(select actnum as account_reference , contract_id from
(select actnum from prod_retail_decisioning.bscoring_prd645b_partitions
where date_processed = '2024-12-31') bpp
left outer join
(select e1243_ctolocpr, 
concat(e1243_idempr, e1243_idcent, e1243_idprod, e1243_idcontr) as contract_id
from prod_retail_contracts.coint_ctolocal_partitions
where date_processed = '2024-12-31') ccp
on ccp.e1243_ctolocpr= bpp.actnum ) ccp_bpp
left outer join
(select contract_reference, 
current_account_behaviour_score as otcacads_behaviour_score,
current_account_behaviour_scorecard_id as otcacads_behaviour_scorecard_id
from prod_retail_decisioning.pccm_otcacads_partitions
where date_processed = '2024-12-31') cads
on cads.contract_reference = ccp_bpp.contract_id) a
left outer join
(select contract_reference, 
scorecard_dormancy_flag, 
scorecard_colls_exclusion_flag, 
account_status, 
product_grouping,
deceased_flag,
scorecard_bad_flag
from prod_retail_decisioning.pccm_otcareca_partitions
where date_processed = '2024-12-31') reca
on reca.contract_reference = a.contract_id) tgt
on tgt.account_reference= src.account_reference
group by src.date_processed;</t>
  </si>
  <si>
    <t>T02a -  exp_capital_team.application_banking_partitions_beh regression testing with existing columns in proddc2</t>
  </si>
  <si>
    <t>count(*)</t>
  </si>
  <si>
    <t>source_system_application</t>
  </si>
  <si>
    <t>match application_id</t>
  </si>
  <si>
    <t>no match application_id</t>
  </si>
  <si>
    <t>prod null exp not null application_id</t>
  </si>
  <si>
    <t>prod not null exp null application_id</t>
  </si>
  <si>
    <t>match contract_id</t>
  </si>
  <si>
    <t>no match contract_id</t>
  </si>
  <si>
    <t>prod null exp not null contract_id</t>
  </si>
  <si>
    <t>prod not null exp null contract_id</t>
  </si>
  <si>
    <t>match account_reference</t>
  </si>
  <si>
    <t>no match account_reference</t>
  </si>
  <si>
    <t>prod null exp not null account_reference</t>
  </si>
  <si>
    <t>prod not null exp null account_reference</t>
  </si>
  <si>
    <t>match application_input_date</t>
  </si>
  <si>
    <t>no match application_input_date</t>
  </si>
  <si>
    <t>prod null exp not null application_input_date</t>
  </si>
  <si>
    <t>prod not null exp null application_input_date</t>
  </si>
  <si>
    <t>match application_score</t>
  </si>
  <si>
    <t>no match application_score</t>
  </si>
  <si>
    <t>prod null exp not null application_score</t>
  </si>
  <si>
    <t>prod not null exp null application_score</t>
  </si>
  <si>
    <t>match application_score_date</t>
  </si>
  <si>
    <t>no match application_score_date</t>
  </si>
  <si>
    <t>prod null exp not null application_score_date</t>
  </si>
  <si>
    <t>prod not null exp null application_score_date</t>
  </si>
  <si>
    <t>match application_score_id</t>
  </si>
  <si>
    <t>no match application_score_id</t>
  </si>
  <si>
    <t>prod null exp not null application_score_id</t>
  </si>
  <si>
    <t>prod not null exp null application_score_id</t>
  </si>
  <si>
    <t>match application_status</t>
  </si>
  <si>
    <t>no match application_status</t>
  </si>
  <si>
    <t>prod null exp not null application_status</t>
  </si>
  <si>
    <t>prod not null exp null application_status</t>
  </si>
  <si>
    <t>match call_type</t>
  </si>
  <si>
    <t>no match call_type</t>
  </si>
  <si>
    <t>prod null exp not null call_type</t>
  </si>
  <si>
    <t>prod not null exp null call_type</t>
  </si>
  <si>
    <t>match decision_id</t>
  </si>
  <si>
    <t>no match decision_id</t>
  </si>
  <si>
    <t>prod null exp not null decision_id</t>
  </si>
  <si>
    <t>prod not null exp null decision_id</t>
  </si>
  <si>
    <t>match effective_date</t>
  </si>
  <si>
    <t>no match effective_date</t>
  </si>
  <si>
    <t>prod null exp not null effective_date</t>
  </si>
  <si>
    <t>prod not null exp null effective_date</t>
  </si>
  <si>
    <t>match process_type_code</t>
  </si>
  <si>
    <t>no match process_type_code</t>
  </si>
  <si>
    <t>prod null exp not null process_type_code</t>
  </si>
  <si>
    <t>prod not null exp null process_type_code</t>
  </si>
  <si>
    <t>2024-12-31</t>
  </si>
  <si>
    <t>CSR</t>
  </si>
  <si>
    <t>DIGITAL_ONBOARDING</t>
  </si>
  <si>
    <t>select count(*),exp.date_processed, exp.source_system_application,
count(case when prod.application_id = exp.application_id or ( prod.application_id is null and exp.application_id is null) then 1 end) as 'match application_id', 
count(case when prod.application_id &lt;&gt; exp.application_id then 1 end) as 'NO match application_id', 
count(case when prod.application_id is null and exp.application_id is not null then 1 end) as 'prod null exp Not null application_id', 
count(case when prod.application_id is not null and exp.application_id is null then 1 end) as 'prod NOT null exp null application_id',
count(case when prod.contract_id = exp.contract_id or ( prod.contract_id is null and exp.contract_id is null) then 1 end) as 'match contract_id', 
count(case when prod.contract_id &lt;&gt; exp.contract_id then 1 end) as 'NO match contract_id', 
count(case when prod.contract_id is null and exp.contract_id is not null then 1 end) as 'prod null exp Not null contract_id', 
count(case when prod.contract_id is not null and exp.contract_id is null then 1 end) as 'prod NOT null exp null contract_id',
count(case when prod.account_reference = exp.account_reference or ( prod.account_reference is null and exp.account_reference is null) then 1 end) as 'match account_reference', 
count(case when prod.account_reference &lt;&gt; exp.account_reference then 1 end) as 'NO match account_reference', 
count(case when prod.account_reference is null and exp.account_reference is not null then 1 end) as 'prod null exp Not null account_reference', 
count(case when prod.account_reference is not null and exp.account_reference is null then 1 end) as 'prod NOT null exp null account_reference',
count(case when prod.application_input_date = exp.application_input_date or ( prod.application_input_date is null and exp.application_input_date is null) then 1 end) as 'match application_input_date', 
count(case when prod.application_input_date &lt;&gt; exp.application_input_date then 1 end) as 'NO match application_input_date', 
count(case when prod.application_input_date is null and exp.application_input_date is not null then 1 end) as 'prod null exp Not null application_input_date', 
count(case when prod.application_input_date is not null and exp.application_input_date is null then 1 end) as 'prod NOT null exp null application_input_date',
count(case when prod.application_score = exp.application_score or ( prod.application_score is null and exp.application_score is null) then 1 end) as 'match application_score', 
count(case when prod.application_score &lt;&gt; exp.application_score then 1 end) as 'NO match application_score', 
count(case when prod.application_score is null and exp.application_score is not null then 1 end) as 'prod null exp Not null application_score', 
count(case when prod.application_score is not null and exp.application_score is null then 1 end) as 'prod NOT null exp null application_score',
count(case when prod.application_score_date = exp.application_score_date or ( prod.application_score_date is null and exp.application_score_date is null) then 1 end) as 'match application_score_date', 
count(case when prod.application_score_date &lt;&gt; exp.application_score_date then 1 end) as 'NO match application_score_date', 
count(case when prod.application_score_date is null and exp.application_score_date is not null then 1 end) as 'prod null exp Not null application_score_date', 
count(case when prod.application_score_date is not null and exp.application_score_date is null then 1 end) as 'prod NOT null exp null application_score_date',
count(case when prod.application_score_id = exp.application_score_id or ( prod.application_score_id is null and exp.application_score_id is null) then 1 end) as 'match application_score_id', 
count(case when prod.application_score_id &lt;&gt; exp.application_score_id then 1 end) as 'NO match application_score_id', 
count(case when prod.application_score_id is null and exp.application_score_id is not null then 1 end) as 'prod null exp Not null application_score_id', 
count(case when prod.application_score_id is not null and exp.application_score_id is null then 1 end) as 'prod NOT null exp null application_score_id',
count(case when prod.application_status = exp.application_status or ( prod.application_status is null and exp.application_status is null) then 1 end) as 'match application_status', 
count(case when prod.application_status &lt;&gt; exp.application_status then 1 end) as 'NO match application_status', 
count(case when prod.application_status is null and exp.application_status is not null then 1 end) as 'prod null exp Not null application_status', 
count(case when prod.application_status is not null and exp.application_status is null then 1 end) as 'prod NOT null exp null application_status',
count(case when prod.call_type = exp.call_type or ( prod.call_type is null and exp.call_type is null) then 1 end) as 'match call_type', 
count(case when prod.call_type &lt;&gt; exp.call_type then 1 end) as 'NO match call_type', 
count(case when prod.call_type is null and exp.call_type is not null then 1 end) as 'prod null exp Not null call_type', 
count(case when prod.call_type is not null and exp.call_type is null then 1 end) as 'prod NOT null exp null call_type',
count(case when prod.decision_id = exp.decision_id or ( prod.decision_id is null and exp.decision_id is null) then 1 end) as 'match decision_id', 
count(case when prod.decision_id &lt;&gt; exp.decision_id then 1 end) as 'NO match decision_id', 
count(case when prod.decision_id is null and exp.decision_id is not null then 1 end) as 'prod null exp Not null decision_id', 
count(case when prod.decision_id is not null and exp.decision_id is null then 1 end) as 'prod NOT null exp null decision_id',
count(case when prod.effective_date = exp.effective_date or ( prod.effective_date is null and exp.effective_date is null) then 1 end) as 'match effective_date', 
count(case when prod.effective_date &lt;&gt; exp.effective_date then 1 end) as 'NO match effective_date', 
count(case when prod.effective_date is null and exp.effective_date is not null then 1 end) as 'prod null exp Not null effective_date', 
count(case when prod.effective_date is not null and exp.effective_date is null then 1 end) as 'prod NOT null exp null effective_date',
count(case when prod.process_type_code = exp.process_type_code or ( prod.process_type_code is null and exp.process_type_code is null) then 1 end) as 'match process_type_code', 
count(case when prod.process_type_code &lt;&gt; exp.process_type_code then 1 end) as 'NO match process_type_code', 
count(case when prod.process_type_code is null and exp.process_type_code is not null then 1 end) as 'prod null exp Not null process_type_code', 
count(case when prod.process_type_code is not null and exp.process_type_code is null then 1 end) as 'prod NOT null exp null process_type_code'
from 
(select *
from retail_contracts_enriched.application_banking_partitions
where date_processed = '2024-12-31' and source_system_application = 'CSR'
)prod
full outer join
(select *
from
 exp_capital_team.application_banking_partitions_beh
where date_processed = '2024-12-31' and source_system_application = 'CSR'
)exp
on exp.contract_id= prod.contract_id and exp.application_id = prod.application_id
where prod.application_score_date = exp.application_score_date
group by exp.date_processed, exp.source_system_application</t>
  </si>
  <si>
    <t>Logic Code - CSR</t>
  </si>
  <si>
    <t>application_score</t>
  </si>
  <si>
    <t>select 
date_processed,source_system_application,  count(*),
count(case when am_application_score =application_score then 1 end) as matchapplication_score,
count(case when am_application_score &lt;&gt; application_score then 1 end) as NOmatchapplication_score,
count(case when am_application_score is null and application_score  is null then 1 end) as both_null_application_score,
count(case when am_application_score is null and application_score  is not null then 1 end) as risk_dec_null_appl_bnkg_notnull_application_score,
count(case when am_application_score is not null and application_score  is null then 1 end) as risk_dec_notnull_appl_bnkg_nul_application_score
from
(
select 
cast(coalesce(risk_score,basel_score) as string) as am_application_score
, risk_scorecard_id as am_application_score_id,
application_datetime as am_application_score_date, gnp_appl_id, gnp_contract_id from
(select risk_score, risk_scorecard_id, application_datetime, gnp_appl_id, gnp_contract_id, basel_score from 
(select concat (e1765_idempr,e1765_idcent,e1765_codcaso, e1765_version, e1765_idsolcas) as gnp_appl_id,date_processed,
e1765_idprnego as gnr_processid, concat(e1765_emprprej ,e1765_centprej, e1765_idprprej, e1765_contprej   ) as gnp_contract_id
 from retail_applications.csr_gnralprduct_partitions
where date_processed = '2024-12-31'
and e1765_idprnego in ("0004", "0005", "0006", "0007", "0014", "0063") )gnp
left join 
(select risk_score, risk_scorecard_id, application_datetime, basel_score,
concat(
case when length(entityid) &gt; 4 then "0015" else entityid end, centreid, caseid, version, codigo_de_solicitud) as rsk_appl_id
from
(
select risk_score, risk_scorecard_id, application_datetime, entityid, basel_score
, centreid, caseid, version, codigo_de_solicitud,
row_number() over (partition by centreid, caseid, version, codigo_de_solicitud order by cast(application_datetime as timestamp) desc) as rnk
from retail_decisioning_enriched.risk_decision_data_banking 
where date_processed &lt;= '20241231' and processid in ("0004", "0005", "0006", "0007", "0014", "0063")
) r
where rnk = 1) tbl2
on rsk_appl_id = gnp_appl_id) tbl3) tbl
left join
(select * from 
exp_capital_team.application_banking_partitions_beh
where date_processed = '2024-12-31' and source_system_application ='CSR') app
on app.application_id= gnp_appl_id and 
app.contract_id = gnp_contract_id
group by date_processed,source_system_application;</t>
  </si>
  <si>
    <t>matchapplication_score</t>
  </si>
  <si>
    <t>nomatchapplication_score</t>
  </si>
  <si>
    <t>both_null_application_score</t>
  </si>
  <si>
    <t>risk_dec_null_appl_bnkg_notnull_application_score</t>
  </si>
  <si>
    <t>risk_dec_notnull_appl_bnkg_nul_application_score</t>
  </si>
  <si>
    <t>application_score_id</t>
  </si>
  <si>
    <t>select 
date_processed,source_system_application,  count(*),
count(case when am_application_score_id = application_score_id then 1 end) as matchapplication_score_id,
count(case when am_application_score_id &lt;&gt; application_score_id then 1 end) as NOmatchapplication_score_id,
count(case when am_application_score_id is null and application_score_id is null then 1 end) as both_null_application_score_id,
count(case when am_application_score_id is null and application_score_id is not null then 1 end) as risk_dec_null_appl_bnkg_notnull_application_score_id,
count(case when am_application_score_id is not null and application_score_id is null then 1 end) as risk_dec_notnull_appl_bnkg_nul_application_score_id
from
(
select
cast(coalesce(risk_score,basel_score) as string) as am_application_score
, risk_scorecard_id as am_application_score_id,
application_datetime as am_application_score_date, gnp_appl_id, gnp_contract_id from
(select risk_score, risk_scorecard_id, application_datetime, gnp_appl_id, gnp_contract_id, basel_score from 
(select concat (e1765_idempr,e1765_idcent,e1765_codcaso, e1765_version, e1765_idsolcas) as gnp_appl_id,date_processed,
e1765_idprnego as gnr_processid, concat(e1765_emprprej ,e1765_centprej, e1765_idprprej, e1765_contprej   ) as gnp_contract_id
 from retail_applications.csr_gnralprduct_partitions
where date_processed = '2024-12-31'
and e1765_idprnego in ("0004", "0005", "0006", "0007", "0014", "0063") )gnp
left join 
(select risk_score, risk_scorecard_id, application_datetime, basel_score,
concat(
case when length(entityid) &gt; 4 then "0015" else entityid end, centreid, caseid, version, codigo_de_solicitud) as rsk_appl_id
from
(
select risk_score, risk_scorecard_id, application_datetime, entityid, basel_score
, centreid, caseid, version, codigo_de_solicitud,
row_number() over (partition by centreid, caseid, version, codigo_de_solicitud order by cast(application_datetime as timestamp) desc) as rnk
from retail_decisioning_enriched.risk_decision_data_banking 
where date_processed &lt;= '20241231' and processid in ("0004", "0005", "0006", "0007", "0014", "0063")
) r
where rnk = 1) tbl2
on rsk_appl_id = gnp_appl_id) tbl3) tbl
left join
(select * from 
exp_capital_team.application_banking_partitions_beh
where date_processed = '2024-12-31' and source_system_application ='CSR') app
on app.application_id= gnp_appl_id and 
app.contract_id = gnp_contract_id
group by date_processed,source_system_application;</t>
  </si>
  <si>
    <t>matchapplication_score_id</t>
  </si>
  <si>
    <t>nomatchapplication_score_id</t>
  </si>
  <si>
    <t>both_null_application_score_id</t>
  </si>
  <si>
    <t>risk_dec_null_appl_bnkg_notnull_application_score_id</t>
  </si>
  <si>
    <t>risk_dec_notnull_appl_bnkg_nul_application_score_id</t>
  </si>
  <si>
    <t>Logic Code - DIGITAL_ONBOARDING</t>
  </si>
  <si>
    <t>select 
date_processed,source_system_application,  count(*)
count(case when am_application_score = cast(application_score as string) then 1 end) as matchapplication_score,
count(case when am_application_score &lt;&gt; cast(application_score as string)then 1 end) as NOmatchapplication_score,
count(case when am_application_score is null and cast(application_score as string)  is null then 1 end) as both_null_application_score,
count(case when am_application_score is null and cast(application_score as string)  is not null then 1 end) as risk_dec_null_appl_bnkg_notnull_application_score,
count(case when am_application_score is not null and cast(application_score as string)  is null then 1 end) as risk_dec_notnull_appl_bnkg_nul_application_score
from
(
select cast(risk_score as string) as am_application_score, risk_scorecard_id as am_application_score_id, application_datetime as am_application_score_date,
am_contract_id,am_application_id, app.date_processed, source_system_application,
application_score_id, application_score,application_score_id_ecb, application_score_ecb
, application_score_date, application_score_id_risk, application_score_risk
 from
(select * from
(select am_application_id, am_contract_id from
(select onboarding_reference as am_application_id, internal_identification as am_contract_id, 
process_type_code, 
substring(status_date_time,1,10) as application_input_date,
row_number() over (partition by onboarding_reference order by status_date_time desc) as rnk
 from retail_contracts.digonboard_accounts
where date_processed &lt;= '2024-12-31'
and process_type_code in ("PCA") )gnp
where rnk = 1) tbl1
left join 
(select *
from
(
select *,
row_number() over (partition by centreid, caseid, version, codigo_de_solicitud 
order by cast(application_datetime as timestamp) desc) as rnk
from retail_decisioning_enriched.risk_decision_data_banking 
where date_processed &lt;= '20241231' and calling_system in ("DIGFULLPCA")
) r
where rnk = 1) tbl2
on am_application_id = caseid) tbl3
left join
(select * from exp_capital_team.application_banking_partitions_beh
where date_processed = '2024-12-31' and source_system_application ='DIGITAL_ONBOARDING') app
on app.contract_id= am_contract_id) tbl
group by date_processed,source_system_application;</t>
  </si>
  <si>
    <t>select 
date_processed,source_system_application,  count(*),
count(case when am_application_score_id = cast(application_score_id as string) then 1 end) as matchapplication_score_id,
count(case when am_application_score_id &lt;&gt; cast(application_score_id as string) then 1 end) as NOmatchapplication_score_id,
count(case when am_application_score_id is null and cast(application_score_id as string) is null then 1 end) as both_null_application_score_id,
count(case when am_application_score_id is null and cast(application_score_id as string) is not null then 1 end) as risk_dec_null_appl_bnkg_notnull_application_score_id,
count(case when am_application_score_id is not null and cast(application_score_id as string) is null then 1 end) as risk_dec_notnull_appl_bnkg_nul_application_score_id
from
(
select cast(risk_score as string) as am_application_score, risk_scorecard_id as am_application_score_id, application_datetime as am_application_score_date,
am_contract_id,am_application_id, app.date_processed, source_system_application,
application_score_id, application_score,application_score_id_ecb, application_score_ecb
, application_score_date, application_score_id_risk, application_score_risk
 from
(select * from
(select am_application_id, am_contract_id from
(select onboarding_reference as am_application_id, internal_identification as am_contract_id, 
process_type_code, 
substring(status_date_time,1,10) as application_input_date,
row_number() over (partition by onboarding_reference order by status_date_time desc) as rnk
 from retail_contracts.digonboard_accounts
where date_processed &lt;= '2024-12-31'
and process_type_code in ("PCA") )gnp
where rnk = 1) tbl1
left join 
(select *
from
(
select *,
row_number() over (partition by centreid, caseid, version, codigo_de_solicitud 
order by cast(application_datetime as timestamp) desc) as rnk
from retail_decisioning_enriched.risk_decision_data_banking 
where date_processed &lt;= '20241231' and calling_system in ("DIGFULLPCA")
) r
where rnk = 1) tbl2
on am_application_id = caseid) tbl3
left join
(select * from exp_capital_team.application_banking_partitions_beh
where date_processed = '2024-12-31' and source_system_application ='DIGITAL_ONBOARDING') app
on app.contract_id= am_contract_id) tbl
group by date_processed,source_system_application;</t>
  </si>
  <si>
    <t>T02b -  exp_capital_team.application_banking_partitions_beh logic testing new columns in proddc2</t>
  </si>
  <si>
    <t>matchapplication_score_ecb</t>
  </si>
  <si>
    <t>select 
date_processed,source_system_application,  count(*),
count(case when am_application_score =application_score_ecb then 1 end) as matchapplication_score_ecb,
count(case when am_application_score &lt;&gt; application_score_ecb then 1 end) as NOmatchapplication_score_ecb,
count(case when am_application_score is null and application_score_ecb  is null then 1 end) as both_null_application_score_ecb,
count(case when am_application_score is null and application_score_ecb  is not null then 1 end) as risk_dec_null_appl_bnkg_notnull_application_score_ecb,
count(case when am_application_score is not null and application_score_ecb  is null then 1 end) as risk_dec_notnull_appl_bnkg_nul_application_score_ecb,
count(case when am_application_score_id = application_score_id_ecb then 1 end) as matchapplication_score_id_ecb,
count(case when am_application_score_id &lt;&gt; application_score_id_ecb then 1 end) as NOmatchapplication_score_id_ecb,
count(case when am_application_score_id is null and application_score_id_ecb is null then 1 end) as both_null_application_score_id_ecb,
count(case when am_application_score_id is null and application_score_id_ecb is not null then 1 end) as risk_dec_null_appl_bnkg_notnull_application_score_id_ecb,
count(case when am_application_score_id is not null and application_score_id_ecb is null then 1 end) as risk_dec_notnull_appl_bnkg_nul_application_score_id_ecb
from
(
select
cast(coalesce(risk_score,basel_score) as string) as am_application_score
, risk_scorecard_id as am_application_score_id,
application_datetime as am_application_score_date, gnp_appl_id, gnp_contract_id from
(select risk_score, risk_scorecard_id, application_datetime, gnp_appl_id, gnp_contract_id, basel_score from 
(select concat (e1765_idempr,e1765_idcent,e1765_codcaso, e1765_version, e1765_idsolcas) as gnp_appl_id,date_processed,
e1765_idprnego as gnr_processid, concat(e1765_emprprej ,e1765_centprej, e1765_idprprej, e1765_contprej   ) as gnp_contract_id
 from retail_applications.csr_gnralprduct_partitions
where date_processed = '2024-12-31'
and e1765_idprnego in ("0004", "0005", "0006", "0007", "0014", "0063") )gnp
left join 
(select risk_score, risk_scorecard_id, application_datetime, basel_score,
concat(
case when length(entityid) &gt; 4 then "0015" else entityid end, centreid, caseid, version, codigo_de_solicitud) as rsk_appl_id
from
(
select risk_score, risk_scorecard_id, application_datetime, entityid, basel_score
, centreid, caseid, version, codigo_de_solicitud,
row_number() over (partition by centreid, caseid, version, codigo_de_solicitud order by cast(application_datetime as timestamp) desc) as rnk
from retail_decisioning_enriched.risk_decision_data_banking 
where date_processed &lt;= '20241231' and processid in ("0004", "0005", "0006", "0007", "0014", "0063")
) r
where rnk = 1) tbl2
on rsk_appl_id = gnp_appl_id) tbl3) tbl
left join
(select * from 
exp_capital_team.application_banking_partitions_beh
where date_processed = '2024-12-31' and source_system_application ='CSR') app
on app.application_id= gnp_appl_id and 
app.contract_id = gnp_contract_id
group by date_processed,source_system_application;</t>
  </si>
  <si>
    <t>T03a - prod_retail_capital_enriched.main_banking_driver_partitions regression with existing columns in pre</t>
  </si>
  <si>
    <t>prod_audt_process_timestamp</t>
  </si>
  <si>
    <t>test_audt_process_timestamp</t>
  </si>
  <si>
    <t>match contract_source_system</t>
  </si>
  <si>
    <t>no match contract_source_system</t>
  </si>
  <si>
    <t>prod null test not null contract_source_system</t>
  </si>
  <si>
    <t>prod not null test null contract_source_system</t>
  </si>
  <si>
    <t>match cntr_contract_id</t>
  </si>
  <si>
    <t>no match cntr_contract_id</t>
  </si>
  <si>
    <t>prod null test not null cntr_contract_id</t>
  </si>
  <si>
    <t>prod not null test null cntr_contract_id</t>
  </si>
  <si>
    <t>match holding_reference</t>
  </si>
  <si>
    <t>no match holding_reference</t>
  </si>
  <si>
    <t>prod null test not null holding_reference</t>
  </si>
  <si>
    <t>prod not null test null holding_reference</t>
  </si>
  <si>
    <t>match partenon_subproduct</t>
  </si>
  <si>
    <t>no match partenon_subproduct</t>
  </si>
  <si>
    <t>prod null test not null partenon_subproduct</t>
  </si>
  <si>
    <t>prod not null test null partenon_subproduct</t>
  </si>
  <si>
    <t>match on_balance_sheet_exposure</t>
  </si>
  <si>
    <t>no match on_balance_sheet_exposure</t>
  </si>
  <si>
    <t>prod null test not null on_balance_sheet_exposure</t>
  </si>
  <si>
    <t>prod not null test null on_balance_sheet_exposure</t>
  </si>
  <si>
    <t>match current_overdraft_amt</t>
  </si>
  <si>
    <t>no match current_overdraft_amt</t>
  </si>
  <si>
    <t>prod null test not null current_overdraft_amt</t>
  </si>
  <si>
    <t>prod not null test null current_overdraft_amt</t>
  </si>
  <si>
    <t>match audt_process_timestamp</t>
  </si>
  <si>
    <t>no match audt_process_timestamp</t>
  </si>
  <si>
    <t>prod null test not null audt_process_timestamp</t>
  </si>
  <si>
    <t>prod not null test null audt_process_timestamp</t>
  </si>
  <si>
    <t>match software_version</t>
  </si>
  <si>
    <t>no match software_version</t>
  </si>
  <si>
    <t>prod null test not null software_version</t>
  </si>
  <si>
    <t>prod not null test null software_version</t>
  </si>
  <si>
    <t>match arrears_history_cde_composite_es</t>
  </si>
  <si>
    <t>no match arrears_history_cde_composite_es</t>
  </si>
  <si>
    <t>prod null test not null arrears_history_cde_composite_es</t>
  </si>
  <si>
    <t>prod not null test null arrears_history_cde_composite_es</t>
  </si>
  <si>
    <t>match time_on_books_mths_cnt</t>
  </si>
  <si>
    <t>no match time_on_books_mths_cnt</t>
  </si>
  <si>
    <t>prod null test not null time_on_books_mths_cnt</t>
  </si>
  <si>
    <t>prod not null test null time_on_books_mths_cnt</t>
  </si>
  <si>
    <t>match max_card_type</t>
  </si>
  <si>
    <t>no match max_card_type</t>
  </si>
  <si>
    <t>prod null test not null max_card_type</t>
  </si>
  <si>
    <t>prod not null test null max_card_type</t>
  </si>
  <si>
    <t>match dto_in_period_amt</t>
  </si>
  <si>
    <t>no match dto_in_period_amt</t>
  </si>
  <si>
    <t>prod null test not null dto_in_period_amt</t>
  </si>
  <si>
    <t>prod not null test null dto_in_period_amt</t>
  </si>
  <si>
    <t>match behaviour_scorecard_id</t>
  </si>
  <si>
    <t>no match behaviour_scorecard_id</t>
  </si>
  <si>
    <t>prod null test not null behaviour_scorecard_id</t>
  </si>
  <si>
    <t>prod not null test null behaviour_scorecard_id</t>
  </si>
  <si>
    <t>match behaviour_score_value</t>
  </si>
  <si>
    <t>no match behaviour_score_value</t>
  </si>
  <si>
    <t>prod null test not null behaviour_score_value</t>
  </si>
  <si>
    <t>prod not null test null behaviour_score_value</t>
  </si>
  <si>
    <t>match arrears_history_cde</t>
  </si>
  <si>
    <t>no match arrears_history_cde</t>
  </si>
  <si>
    <t>prod null test not null arrears_history_cde</t>
  </si>
  <si>
    <t>prod not null test null arrears_history_cde</t>
  </si>
  <si>
    <t>match delphi_bankruptcy_ind</t>
  </si>
  <si>
    <t>no match delphi_bankruptcy_ind</t>
  </si>
  <si>
    <t>prod null test not null delphi_bankruptcy_ind</t>
  </si>
  <si>
    <t>prod not null test null delphi_bankruptcy_ind</t>
  </si>
  <si>
    <t>match off_balance_sheet_exposure</t>
  </si>
  <si>
    <t>no match off_balance_sheet_exposure</t>
  </si>
  <si>
    <t>prod null test not null off_balance_sheet_exposure</t>
  </si>
  <si>
    <t>prod not null test null off_balance_sheet_exposure</t>
  </si>
  <si>
    <t>match months_in_610</t>
  </si>
  <si>
    <t>no match months_in_610</t>
  </si>
  <si>
    <t>prod null test not null months_in_610</t>
  </si>
  <si>
    <t>prod not null test null months_in_610</t>
  </si>
  <si>
    <t>prod null test not null application_score</t>
  </si>
  <si>
    <t>prod not null test null application_score</t>
  </si>
  <si>
    <t>prod null test not null application_score_date</t>
  </si>
  <si>
    <t>prod not null test null application_score_date</t>
  </si>
  <si>
    <t>prod null test not null application_score_id</t>
  </si>
  <si>
    <t>prod not null test null application_score_id</t>
  </si>
  <si>
    <t>match partenon_product</t>
  </si>
  <si>
    <t>no match partenon_product</t>
  </si>
  <si>
    <t>prod null test not null partenon_product</t>
  </si>
  <si>
    <t>prod not null test null partenon_product</t>
  </si>
  <si>
    <t>match product_group</t>
  </si>
  <si>
    <t>no match product_group</t>
  </si>
  <si>
    <t>prod null test not null product_group</t>
  </si>
  <si>
    <t>prod not null test null product_group</t>
  </si>
  <si>
    <t>match max_cr_6_mth_cnt</t>
  </si>
  <si>
    <t>no match max_cr_6_mth_cnt</t>
  </si>
  <si>
    <t>prod null test not null max_cr_6_mth_cnt</t>
  </si>
  <si>
    <t>prod not null test null max_cr_6_mth_cnt</t>
  </si>
  <si>
    <t>match min_bal_in_period_amt_l12m</t>
  </si>
  <si>
    <t>no match min_bal_in_period_amt_l12m</t>
  </si>
  <si>
    <t>prod null test not null min_bal_in_period_amt_l12m</t>
  </si>
  <si>
    <t>prod not null test null min_bal_in_period_amt_l12m</t>
  </si>
  <si>
    <t>match pencil_limit</t>
  </si>
  <si>
    <t>no match pencil_limit</t>
  </si>
  <si>
    <t>prod null test not null pencil_limit</t>
  </si>
  <si>
    <t>prod not null test null pencil_limit</t>
  </si>
  <si>
    <t>match shadow_undrawn_ratio</t>
  </si>
  <si>
    <t>no match shadow_undrawn_ratio</t>
  </si>
  <si>
    <t>prod null test not null shadow_undrawn_ratio</t>
  </si>
  <si>
    <t>prod not null test null shadow_undrawn_ratio</t>
  </si>
  <si>
    <t>match overdraft_utilisation_ratio</t>
  </si>
  <si>
    <t>no match overdraft_utilisation_ratio</t>
  </si>
  <si>
    <t>prod null test not null overdraft_utilisation_ratio</t>
  </si>
  <si>
    <t>prod not null test null overdraft_utilisation_ratio</t>
  </si>
  <si>
    <t>match last_sgnft_cr_trn_days_cnt</t>
  </si>
  <si>
    <t>no match last_sgnft_cr_trn_days_cnt</t>
  </si>
  <si>
    <t>prod null test not null last_sgnft_cr_trn_days_cnt</t>
  </si>
  <si>
    <t>prod not null test null last_sgnft_cr_trn_days_cnt</t>
  </si>
  <si>
    <t>match collections_entry_bal_amt</t>
  </si>
  <si>
    <t>no match collections_entry_bal_amt</t>
  </si>
  <si>
    <t>prod null test not null collections_entry_bal_amt</t>
  </si>
  <si>
    <t>prod not null test null collections_entry_bal_amt</t>
  </si>
  <si>
    <t>match debits_in_current_mnth_cnt</t>
  </si>
  <si>
    <t>no match debits_in_current_mnth_cnt</t>
  </si>
  <si>
    <t>prod null test not null debits_in_current_mnth_cnt</t>
  </si>
  <si>
    <t>prod not null test null debits_in_current_mnth_cnt</t>
  </si>
  <si>
    <t>match max_overdraft_utilisation</t>
  </si>
  <si>
    <t>no match max_overdraft_utilisation</t>
  </si>
  <si>
    <t>prod null test not null max_overdraft_utilisation</t>
  </si>
  <si>
    <t>prod not null test null max_overdraft_utilisation</t>
  </si>
  <si>
    <t>match min_bal_in_period_amt</t>
  </si>
  <si>
    <t>no match min_bal_in_period_amt</t>
  </si>
  <si>
    <t>prod null test not null min_bal_in_period_amt</t>
  </si>
  <si>
    <t>prod not null test null min_bal_in_period_amt</t>
  </si>
  <si>
    <t>match avge_balance</t>
  </si>
  <si>
    <t>no match avge_balance</t>
  </si>
  <si>
    <t>prod null test not null avge_balance</t>
  </si>
  <si>
    <t>prod not null test null avge_balance</t>
  </si>
  <si>
    <t>match avge_dr_12_mnth_cnt</t>
  </si>
  <si>
    <t>no match avge_dr_12_mnth_cnt</t>
  </si>
  <si>
    <t>prod null test not null avge_dr_12_mnth_cnt</t>
  </si>
  <si>
    <t>prod not null test null avge_dr_12_mnth_cnt</t>
  </si>
  <si>
    <t>match cto_in_period_amt</t>
  </si>
  <si>
    <t>no match cto_in_period_amt</t>
  </si>
  <si>
    <t>prod null test not null cto_in_period_amt</t>
  </si>
  <si>
    <t>prod not null test null cto_in_period_amt</t>
  </si>
  <si>
    <t>match overdraft_excess_days_cnt</t>
  </si>
  <si>
    <t>no match overdraft_excess_days_cnt</t>
  </si>
  <si>
    <t>prod null test not null overdraft_excess_days_cnt</t>
  </si>
  <si>
    <t>prod not null test null overdraft_excess_days_cnt</t>
  </si>
  <si>
    <t>match status_dual</t>
  </si>
  <si>
    <t>no match status_dual</t>
  </si>
  <si>
    <t>prod null test not null status_dual</t>
  </si>
  <si>
    <t>prod not null test null status_dual</t>
  </si>
  <si>
    <t>2025-01-07 17:03:39.202</t>
  </si>
  <si>
    <t>2025-06-19 18:04:23.166</t>
  </si>
  <si>
    <t>Match</t>
  </si>
  <si>
    <t>2025-07-29 09:43:10.095</t>
  </si>
  <si>
    <t>10568187</t>
  </si>
  <si>
    <t>select 
prod.audt_process_timestamp as prod_audt_process_timestamp, 
test.audt_process_timestamp as test_audt_process_timestamp,count(*),test.date_processed,
count(case when prod.contract_source_system = test.contract_source_system or ( prod.contract_source_system is null and test.contract_source_system is null) then 1 end) as 'match contract_source_system', 
count(case when prod.contract_source_system &lt;&gt; test.contract_source_system then 1 end) as 'NO match contract_source_system', 
count(case when prod.contract_source_system is null and test.contract_source_system is not null then 1 end) as 'prod null test Not null contract_source_system', 
count(case when prod.contract_source_system is not null and test.contract_source_system is null then 1 end) as 'prod NOT null test null contract_source_system',
count(case when prod.cntr_contract_id = test.cntr_contract_id or ( prod.cntr_contract_id is null and test.cntr_contract_id is null) then 1 end) as 'match cntr_contract_id', 
count(case when prod.cntr_contract_id &lt;&gt; test.cntr_contract_id then 1 end) as 'NO match cntr_contract_id', 
count(case when prod.cntr_contract_id is null and test.cntr_contract_id is not null then 1 end) as 'prod null test Not null cntr_contract_id', 
count(case when prod.cntr_contract_id is not null and test.cntr_contract_id is null then 1 end) as 'prod NOT null test null cntr_contract_id',
count(case when prod.holding_reference = test.holding_reference or ( prod.holding_reference is null and test.holding_reference is null) then 1 end) as 'match holding_reference', 
count(case when prod.holding_reference &lt;&gt; test.holding_reference then 1 end) as 'NO match holding_reference', 
count(case when prod.holding_reference is null and test.holding_reference is not null then 1 end) as 'prod null test Not null holding_reference', 
count(case when prod.holding_reference is not null and test.holding_reference is null then 1 end) as 'prod NOT null test null holding_reference',
count(case when prod.partenon_subproduct = test.partenon_subproduct or ( prod.partenon_subproduct is null and test.partenon_subproduct is null) then 1 end) as 'match partenon_subproduct', 
count(case when prod.partenon_subproduct &lt;&gt; test.partenon_subproduct then 1 end) as 'NO match partenon_subproduct', 
count(case when prod.partenon_subproduct is null and test.partenon_subproduct is not null then 1 end) as 'prod null test Not null partenon_subproduct', 
count(case when prod.partenon_subproduct is not null and test.partenon_subproduct is null then 1 end) as 'prod NOT null test null partenon_subproduct',
count(case when prod.on_balance_sheet_exposure = test.on_balance_sheet_exposure or ( prod.on_balance_sheet_exposure is null and test.on_balance_sheet_exposure is null) then 1 end) as 'match on_balance_sheet_exposure', 
count(case when prod.on_balance_sheet_exposure &lt;&gt; test.on_balance_sheet_exposure then 1 end) as 'NO match on_balance_sheet_exposure', 
count(case when prod.on_balance_sheet_exposure is null and test.on_balance_sheet_exposure is not null then 1 end) as 'prod null test Not null on_balance_sheet_exposure', 
count(case when prod.on_balance_sheet_exposure is not null and test.on_balance_sheet_exposure is null then 1 end) as 'prod NOT null test null on_balance_sheet_exposure',
count(case when prod.current_overdraft_amt = test.current_overdraft_amt or ( prod.current_overdraft_amt is null and test.current_overdraft_amt is null) then 1 end) as 'match current_overdraft_amt', 
count(case when prod.current_overdraft_amt &lt;&gt; test.current_overdraft_amt then 1 end) as 'NO match current_overdraft_amt', 
count(case when prod.current_overdraft_amt is null and test.current_overdraft_amt is not null then 1 end) as 'prod null test Not null current_overdraft_amt', 
count(case when prod.current_overdraft_amt is not null and test.current_overdraft_amt is null then 1 end) as 'prod NOT null test null current_overdraft_amt',
count(case when prod.audt_process_timestamp = test.audt_process_timestamp or ( prod.audt_process_timestamp is null and test.audt_process_timestamp is null) then 1 end) as 'match audt_process_timestamp', 
count(case when prod.audt_process_timestamp &lt;&gt; test.audt_process_timestamp then 1 end) as 'NO match audt_process_timestamp', 
count(case when prod.audt_process_timestamp is null and test.audt_process_timestamp is not null then 1 end) as 'prod null test Not null audt_process_timestamp', 
count(case when prod.audt_process_timestamp is not null and test.audt_process_timestamp is null then 1 end) as 'prod NOT null test null audt_process_timestamp',
count(case when prod.software_version = test.software_version or ( prod.software_version is null and test.software_version is null) then 1 end) as 'match software_version', 
count(case when prod.software_version &lt;&gt; test.software_version then 1 end) as 'NO match software_version', 
count(case when prod.software_version is null and test.software_version is not null then 1 end) as 'prod null test Not null software_version', 
count(case when prod.software_version is not null and test.software_version is null then 1 end) as 'prod NOT null test null software_version',
count(case when prod.arrears_history_cde_composite_es = test.arrears_history_cde_composite_es or ( prod.arrears_history_cde_composite_es is null and test.arrears_history_cde_composite_es is null) then 1 end) as 'match arrears_history_cde_composite_es', 
count(case when prod.arrears_history_cde_composite_es &lt;&gt; test.arrears_history_cde_composite_es then 1 end) as 'NO match arrears_history_cde_composite_es', 
count(case when prod.arrears_history_cde_composite_es is null and test.arrears_history_cde_composite_es is not null then 1 end) as 'prod null test Not null arrears_history_cde_composite_es', 
count(case when prod.arrears_history_cde_composite_es is not null and test.arrears_history_cde_composite_es is null then 1 end) as 'prod NOT null test null arrears_history_cde_composite_es',
count(case when prod.time_on_books_mths_cnt = test.time_on_books_mths_cnt or ( prod.time_on_books_mths_cnt is null and test.time_on_books_mths_cnt is null) then 1 end) as 'match time_on_books_mths_cnt', 
count(case when prod.time_on_books_mths_cnt &lt;&gt; test.time_on_books_mths_cnt then 1 end) as 'NO match time_on_books_mths_cnt', 
count(case when prod.time_on_books_mths_cnt is null and test.time_on_books_mths_cnt is not null then 1 end) as 'prod null test Not null time_on_books_mths_cnt', 
count(case when prod.time_on_books_mths_cnt is not null and test.time_on_books_mths_cnt is null then 1 end) as 'prod NOT null test null time_on_books_mths_cnt',
count(case when prod.max_card_type = test.max_card_type or ( prod.max_card_type is null and test.max_card_type is null) then 1 end) as 'match max_card_type', 
count(case when prod.max_card_type &lt;&gt; test.max_card_type then 1 end) as 'NO match max_card_type', 
count(case when prod.max_card_type is null and test.max_card_type is not null then 1 end) as 'prod null test Not null max_card_type', 
count(case when prod.max_card_type is not null and test.max_card_type is null then 1 end) as 'prod NOT null test null max_card_type',
count(case when prod.dto_in_period_amt = test.dto_in_period_amt or ( prod.dto_in_period_amt is null and test.dto_in_period_amt is null) then 1 end) as 'match dto_in_period_amt', 
count(case when prod.dto_in_period_amt &lt;&gt; test.dto_in_period_amt then 1 end) as 'NO match dto_in_period_amt', 
count(case when prod.dto_in_period_amt is null and test.dto_in_period_amt is not null then 1 end) as 'prod null test Not null dto_in_period_amt', 
count(case when prod.dto_in_period_amt is not null and test.dto_in_period_amt is null then 1 end) as 'prod NOT null test null dto_in_period_amt',
count(case when prod.behaviour_scorecard_id = test.behaviour_scorecard_id or ( prod.behaviour_scorecard_id is null and test.behaviour_scorecard_id is null) then 1 end) as 'match behaviour_scorecard_id', 
count(case when prod.behaviour_scorecard_id &lt;&gt; test.behaviour_scorecard_id then 1 end) as 'NO match behaviour_scorecard_id', 
count(case when prod.behaviour_scorecard_id is null and test.behaviour_scorecard_id is not null then 1 end) as 'prod null test Not null behaviour_scorecard_id', 
count(case when prod.behaviour_scorecard_id is not null and test.behaviour_scorecard_id is null then 1 end) as 'prod NOT null test null behaviour_scorecard_id',
count(case when prod.behaviour_score_value = test.behaviour_score_value or ( prod.behaviour_score_value is null and test.behaviour_score_value is null) then 1 end) as 'match behaviour_score_value', 
count(case when prod.behaviour_score_value &lt;&gt; test.behaviour_score_value then 1 end) as 'NO match behaviour_score_value', 
count(case when prod.behaviour_score_value is null and test.behaviour_score_value is not null then 1 end) as 'prod null test Not null behaviour_score_value', 
count(case when prod.behaviour_score_value is not null and test.behaviour_score_value is null then 1 end) as 'prod NOT null test null behaviour_score_value',
count(case when prod.arrears_history_cde = test.arrears_history_cde or ( prod.arrears_history_cde is null and test.arrears_history_cde is null) then 1 end) as 'match arrears_history_cde', 
count(case when prod.arrears_history_cde &lt;&gt; test.arrears_history_cde then 1 end) as 'NO match arrears_history_cde', 
count(case when prod.arrears_history_cde is null and test.arrears_history_cde is not null then 1 end) as 'prod null test Not null arrears_history_cde', 
count(case when prod.arrears_history_cde is not null and test.arrears_history_cde is null then 1 end) as 'prod NOT null test null arrears_history_cde',
count(case when prod.delphi_bankruptcy_ind = test.delphi_bankruptcy_ind or ( prod.delphi_bankruptcy_ind is null and test.delphi_bankruptcy_ind is null) then 1 end) as 'match delphi_bankruptcy_ind', 
count(case when prod.delphi_bankruptcy_ind &lt;&gt; test.delphi_bankruptcy_ind then 1 end) as 'NO match delphi_bankruptcy_ind', 
count(case when prod.delphi_bankruptcy_ind is null and test.delphi_bankruptcy_ind is not null then 1 end) as 'prod null test Not null delphi_bankruptcy_ind', 
count(case when prod.delphi_bankruptcy_ind is not null and test.delphi_bankruptcy_ind is null then 1 end) as 'prod NOT null test null delphi_bankruptcy_ind',
count(case when prod.off_balance_sheet_exposure = test.off_balance_sheet_exposure or ( prod.off_balance_sheet_exposure is null and test.off_balance_sheet_exposure is null) then 1 end) as 'match off_balance_sheet_exposure', 
count(case when prod.off_balance_sheet_exposure &lt;&gt; test.off_balance_sheet_exposure then 1 end) as 'NO match off_balance_sheet_exposure', 
count(case when prod.off_balance_sheet_exposure is null and test.off_balance_sheet_exposure is not null then 1 end) as 'prod null test Not null off_balance_sheet_exposure', 
count(case when prod.off_balance_sheet_exposure is not null and test.off_balance_sheet_exposure is null then 1 end) as 'prod NOT null test null off_balance_sheet_exposure',
count(case when prod.months_in_610 = test.months_in_610 or ( prod.months_in_610 is null and test.months_in_610 is null) then 1 end) as 'match months_in_610', 
count(case when prod.months_in_610 &lt;&gt; test.months_in_610 then 1 end) as 'NO match months_in_610', 
count(case when prod.months_in_610 is null and test.months_in_610 is not null then 1 end) as 'prod null test Not null months_in_610', 
count(case when prod.months_in_610 is not null and test.months_in_610 is null then 1 end) as 'prod NOT null test null months_in_610',
count(case when prod.application_score = test.application_score or ( prod.application_score is null and test.application_score is null) then 1 end) as 'match application_score', 
count(case when prod.application_score &lt;&gt; test.application_score then 1 end) as 'NO match application_score', 
count(case when prod.application_score is null and test.application_score is not null then 1 end) as 'prod null test Not null application_score', 
count(case when prod.application_score is not null and test.application_score is null then 1 end) as 'prod NOT null test null application_score',
count(case when prod.application_score_date = test.application_score_date or ( prod.application_score_date is null and test.application_score_date is null) then 1 end) as 'match application_score_date', 
count(case when prod.application_score_date &lt;&gt; test.application_score_date then 1 end) as 'NO match application_score_date', 
count(case when prod.application_score_date is null and test.application_score_date is not null then 1 end) as 'prod null test Not null application_score_date', 
count(case when prod.application_score_date is not null and test.application_score_date is null then 1 end) as 'prod NOT null test null application_score_date',
count(case when prod.application_score_id = test.application_score_id or ( prod.application_score_id is null and test.application_score_id is null) then 1 end) as 'match application_score_id', 
count(case when prod.application_score_id &lt;&gt; test.application_score_id then 1 end) as 'NO match application_score_id', 
count(case when prod.application_score_id is null and test.application_score_id is not null then 1 end) as 'prod null test Not null application_score_id', 
count(case when prod.application_score_id is not null and test.application_score_id is null then 1 end) as 'prod NOT null test null application_score_id',
count(case when prod.partenon_product = test.partenon_product or ( prod.partenon_product is null and test.partenon_product is null) then 1 end) as 'match partenon_product', 
count(case when prod.partenon_product &lt;&gt; test.partenon_product then 1 end) as 'NO match partenon_product', 
count(case when prod.partenon_product is null and test.partenon_product is not null then 1 end) as 'prod null test Not null partenon_product', 
count(case when prod.partenon_product is not null and test.partenon_product is null then 1 end) as 'prod NOT null test null partenon_product',
count(case when prod.product_group = test.product_group or ( prod.product_group is null and test.product_group is null) then 1 end) as 'match product_group', 
count(case when prod.product_group &lt;&gt; test.product_group then 1 end) as 'NO match product_group', 
count(case when prod.product_group is null and test.product_group is not null then 1 end) as 'prod null test Not null product_group', 
count(case when prod.product_group is not null and test.product_group is null then 1 end) as 'prod NOT null test null product_group',
count(case when prod.max_cr_6_mth_cnt = test.max_cr_6_mth_cnt or ( prod.max_cr_6_mth_cnt is null and test.max_cr_6_mth_cnt is null) then 1 end) as 'match max_cr_6_mth_cnt', 
count(case when prod.max_cr_6_mth_cnt &lt;&gt; test.max_cr_6_mth_cnt then 1 end) as 'NO match max_cr_6_mth_cnt', 
count(case when prod.max_cr_6_mth_cnt is null and test.max_cr_6_mth_cnt is not null then 1 end) as 'prod null test Not null max_cr_6_mth_cnt', 
count(case when prod.max_cr_6_mth_cnt is not null and test.max_cr_6_mth_cnt is null then 1 end) as 'prod NOT null test null max_cr_6_mth_cnt',
count(case when prod.min_bal_in_period_amt_l12m = test.min_bal_in_period_amt_l12m or ( prod.min_bal_in_period_amt_l12m is null and test.min_bal_in_period_amt_l12m is null) then 1 end) as 'match min_bal_in_period_amt_l12m', 
count(case when prod.min_bal_in_period_amt_l12m &lt;&gt; test.min_bal_in_period_amt_l12m then 1 end) as 'NO match min_bal_in_period_amt_l12m', 
count(case when prod.min_bal_in_period_amt_l12m is null and test.min_bal_in_period_amt_l12m is not null then 1 end) as 'prod null test Not null min_bal_in_period_amt_l12m', 
count(case when prod.min_bal_in_period_amt_l12m is not null and test.min_bal_in_period_amt_l12m is null then 1 end) as 'prod NOT null test null min_bal_in_period_amt_l12m',
count(case when prod.pencil_limit = test.pencil_limit or ( prod.pencil_limit is null and test.pencil_limit is null) then 1 end) as 'match pencil_limit', 
count(case when prod.pencil_limit &lt;&gt; test.pencil_limit then 1 end) as 'NO match pencil_limit', 
count(case when prod.pencil_limit is null and test.pencil_limit is not null then 1 end) as 'prod null test Not null pencil_limit', 
count(case when prod.pencil_limit is not null and test.pencil_limit is null then 1 end) as 'prod NOT null test null pencil_limit',
count(case when prod.shadow_undrawn_ratio = test.shadow_undrawn_ratio or ( prod.shadow_undrawn_ratio is null and test.shadow_undrawn_ratio is null) then 1 end) as 'match shadow_undrawn_ratio', 
count(case when prod.shadow_undrawn_ratio &lt;&gt; test.shadow_undrawn_ratio then 1 end) as 'NO match shadow_undrawn_ratio', 
count(case when prod.shadow_undrawn_ratio is null and test.shadow_undrawn_ratio is not null then 1 end) as 'prod null test Not null shadow_undrawn_ratio', 
count(case when prod.shadow_undrawn_ratio is not null and test.shadow_undrawn_ratio is null then 1 end) as 'prod NOT null test null shadow_undrawn_ratio',
count(case when prod.overdraft_utilisation_ratio = test.overdraft_utilisation_ratio or ( prod.overdraft_utilisation_ratio is null and test.overdraft_utilisation_ratio is null) then 1 end) as 'match overdraft_utilisation_ratio', 
count(case when prod.overdraft_utilisation_ratio &lt;&gt; test.overdraft_utilisation_ratio then 1 end) as 'NO match overdraft_utilisation_ratio', 
count(case when prod.overdraft_utilisation_ratio is null and test.overdraft_utilisation_ratio is not null then 1 end) as 'prod null test Not null overdraft_utilisation_ratio', 
count(case when prod.overdraft_utilisation_ratio is not null and test.overdraft_utilisation_ratio is null then 1 end) as 'prod NOT null test null overdraft_utilisation_ratio',
count(case when prod.last_sgnft_cr_trn_days_cnt = test.last_sgnft_cr_trn_days_cnt or ( prod.last_sgnft_cr_trn_days_cnt is null and test.last_sgnft_cr_trn_days_cnt is null) then 1 end) as 'match last_sgnft_cr_trn_days_cnt', 
count(case when prod.last_sgnft_cr_trn_days_cnt &lt;&gt; test.last_sgnft_cr_trn_days_cnt then 1 end) as 'NO match last_sgnft_cr_trn_days_cnt', 
count(case when prod.last_sgnft_cr_trn_days_cnt is null and test.last_sgnft_cr_trn_days_cnt is not null then 1 end) as 'prod null test Not null last_sgnft_cr_trn_days_cnt', 
count(case when prod.last_sgnft_cr_trn_days_cnt is not null and test.last_sgnft_cr_trn_days_cnt is null then 1 end) as 'prod NOT null test null last_sgnft_cr_trn_days_cnt',
count(case when prod.collections_entry_bal_amt = test.collections_entry_bal_amt or ( prod.collections_entry_bal_amt is null and test.collections_entry_bal_amt is null) then 1 end) as 'match collections_entry_bal_amt', 
count(case when prod.collections_entry_bal_amt &lt;&gt; test.collections_entry_bal_amt then 1 end) as 'NO match collections_entry_bal_amt', 
count(case when prod.collections_entry_bal_amt is null and test.collections_entry_bal_amt is not null then 1 end) as 'prod null test Not null collections_entry_bal_amt', 
count(case when prod.collections_entry_bal_amt is not null and test.collections_entry_bal_amt is null then 1 end) as 'prod NOT null test null collections_entry_bal_amt',
count(case when prod.debits_in_current_mnth_cnt = test.debits_in_current_mnth_cnt or ( prod.debits_in_current_mnth_cnt is null and test.debits_in_current_mnth_cnt is null) then 1 end) as 'match debits_in_current_mnth_cnt', 
count(case when prod.debits_in_current_mnth_cnt &lt;&gt; test.debits_in_current_mnth_cnt then 1 end) as 'NO match debits_in_current_mnth_cnt', 
count(case when prod.debits_in_current_mnth_cnt is null and test.debits_in_current_mnth_cnt is not null then 1 end) as 'prod null test Not null debits_in_current_mnth_cnt', 
count(case when prod.debits_in_current_mnth_cnt is not null and test.debits_in_current_mnth_cnt is null then 1 end) as 'prod NOT null test null debits_in_current_mnth_cnt',
count(case when prod.max_overdraft_utilisation = test.max_overdraft_utilisation or ( prod.max_overdraft_utilisation is null and test.max_overdraft_utilisation is null) then 1 end) as 'match max_overdraft_utilisation', 
count(case when prod.max_overdraft_utilisation &lt;&gt; test.max_overdraft_utilisation then 1 end) as 'NO match max_overdraft_utilisation', 
count(case when prod.max_overdraft_utilisation is null and test.max_overdraft_utilisation is not null then 1 end) as 'prod null test Not null max_overdraft_utilisation', 
count(case when prod.max_overdraft_utilisation is not null and test.max_overdraft_utilisation is null then 1 end) as 'prod NOT null test null max_overdraft_utilisation',
count(case when prod.min_bal_in_period_amt = test.min_bal_in_period_amt or ( prod.min_bal_in_period_amt is null and test.min_bal_in_period_amt is null) then 1 end) as 'match min_bal_in_period_amt', 
count(case when prod.min_bal_in_period_amt &lt;&gt; test.min_bal_in_period_amt then 1 end) as 'NO match min_bal_in_period_amt', 
count(case when prod.min_bal_in_period_amt is null and test.min_bal_in_period_amt is not null then 1 end) as 'prod null test Not null min_bal_in_period_amt', 
count(case when prod.min_bal_in_period_amt is not null and test.min_bal_in_period_amt is null then 1 end) as 'prod NOT null test null min_bal_in_period_amt',
count(case when prod.avge_balance = test.avge_balance or ( prod.avge_balance is null and test.avge_balance is null) then 1 end) as 'match avge_balance', 
count(case when prod.avge_balance &lt;&gt; test.avge_balance then 1 end) as 'NO match avge_balance', 
count(case when prod.avge_balance is null and test.avge_balance is not null then 1 end) as 'prod null test Not null avge_balance', 
count(case when prod.avge_balance is not null and test.avge_balance is null then 1 end) as 'prod NOT null test null avge_balance',
count(case when prod.avge_dr_12_mnth_cnt = test.avge_dr_12_mnth_cnt or ( prod.avge_dr_12_mnth_cnt is null and test.avge_dr_12_mnth_cnt is null) then 1 end) as 'match avge_dr_12_mnth_cnt', 
count(case when prod.avge_dr_12_mnth_cnt &lt;&gt; test.avge_dr_12_mnth_cnt then 1 end) as 'NO match avge_dr_12_mnth_cnt', 
count(case when prod.avge_dr_12_mnth_cnt is null and test.avge_dr_12_mnth_cnt is not null then 1 end) as 'prod null test Not null avge_dr_12_mnth_cnt', 
count(case when prod.avge_dr_12_mnth_cnt is not null and test.avge_dr_12_mnth_cnt is null then 1 end) as 'prod NOT null test null avge_dr_12_mnth_cnt',
count(case when prod.cto_in_period_amt = test.cto_in_period_amt or ( prod.cto_in_period_amt is null and test.cto_in_period_amt is null) then 1 end) as 'match cto_in_period_amt', 
count(case when prod.cto_in_period_amt &lt;&gt; test.cto_in_period_amt then 1 end) as 'NO match cto_in_period_amt', 
count(case when prod.cto_in_period_amt is null and test.cto_in_period_amt is not null then 1 end) as 'prod null test Not null cto_in_period_amt', 
count(case when prod.cto_in_period_amt is not null and test.cto_in_period_amt is null then 1 end) as 'prod NOT null test null cto_in_period_amt',
count(case when prod.overdraft_excess_days_cnt = test.overdraft_excess_days_cnt or ( prod.overdraft_excess_days_cnt is null and test.overdraft_excess_days_cnt is null) then 1 end) as 'match overdraft_excess_days_cnt', 
count(case when prod.overdraft_excess_days_cnt &lt;&gt; test.overdraft_excess_days_cnt then 1 end) as 'NO match overdraft_excess_days_cnt', 
count(case when prod.overdraft_excess_days_cnt is null and test.overdraft_excess_days_cnt is not null then 1 end) as 'prod null test Not null overdraft_excess_days_cnt', 
count(case when prod.overdraft_excess_days_cnt is not null and test.overdraft_excess_days_cnt is null then 1 end) as 'prod NOT null test null overdraft_excess_days_cnt',
count(case when prod.status_dual = test.status_dual or ( prod.status_dual is null and test.status_dual is null) then 1 end) as 'match status_dual', 
count(case when prod.status_dual &lt;&gt; test.status_dual then 1 end) as 'NO match status_dual', 
count(case when prod.status_dual is null and test.status_dual is not null then 1 end) as 'prod null test Not null status_dual', 
count(case when prod.status_dual is not null and test.status_dual is null then 1 end) as 'prod NOT null test null status_dual'
from 
(select *
from prod_retail_capital_enriched.main_banking_driver_partitions
where date_processed = '2024-12-31' 
and audt_execution_version ='ACM2')prod
full outer join
(select *
from
prod_retail_capital_enriched.main_banking_driver_partitions
where date_processed = '2024-12-31'
and audt_execution_version ='MCM7' )test
on test.cntr_contract_id= prod.cntr_contract_id
group by test.date_processed,prod.audt_process_timestamp, test.audt_process_timestamp</t>
  </si>
  <si>
    <t>expected - DCMv7 to DCMV11 changes</t>
  </si>
  <si>
    <t>expected - new applications score cards ids</t>
  </si>
  <si>
    <t>expected - due to change in source since April 2025</t>
  </si>
  <si>
    <t>T03b - prod_retail_capital_enriched.main_banking_driver_partitions logic testing new columns in pre</t>
  </si>
  <si>
    <t>audt_process_timestamp</t>
  </si>
  <si>
    <t>match_behaviour_scorecard_id</t>
  </si>
  <si>
    <t>no_match_behaviour_scorecard_id</t>
  </si>
  <si>
    <t>both_null</t>
  </si>
  <si>
    <t>exp_null_src_not_null_behaviour_scorecard_id</t>
  </si>
  <si>
    <t>exp_not_null_src_null_behaviour_scorecard_id</t>
  </si>
  <si>
    <t>match_behaviour_scorecard_value_uk</t>
  </si>
  <si>
    <t>no_match_behaviour_scorecard_value_uk</t>
  </si>
  <si>
    <t>both_null_behaviour_scorecard_value_uk</t>
  </si>
  <si>
    <t>exp_null_src_not_null_behaviour_scorecard_value_uk</t>
  </si>
  <si>
    <t>exp_not_null_src_null_behaviour_scorecard_value_uk</t>
  </si>
  <si>
    <t>match_behaviour_scorecard_id_ecb</t>
  </si>
  <si>
    <t>no_match_behaviour_scorecard_id_ecb</t>
  </si>
  <si>
    <t>both_null_behaviour_scorecard_id_ecb</t>
  </si>
  <si>
    <t>exp_null_src_not_null_behaviour_scorecard_id_ecb</t>
  </si>
  <si>
    <t>exp_not_null_src_null_behaviour_scorecard_id_ecb</t>
  </si>
  <si>
    <t>match_behaviour_score_value_ecb</t>
  </si>
  <si>
    <t>no_match_behaviour_score_value_ecb</t>
  </si>
  <si>
    <t>both_null_behaviour_score_value_ecb</t>
  </si>
  <si>
    <t>exp_null_src_not_null_behaviour_score_value_ecb</t>
  </si>
  <si>
    <t>exp_not_null_src_null_behaviour_score_value_ecb</t>
  </si>
  <si>
    <t>2025-05-29 16:23:42.308</t>
  </si>
  <si>
    <t>select
date_processed, audt_process_timestamp,count(*),
count( case when exp.behaviour_scorecard_id_uk= cal_behaviour_scorecard_id  then 1 end  ) as match_behaviour_scorecard_id,
count( case when exp.behaviour_scorecard_id_uk!= cal_behaviour_scorecard_id  then 1 end  ) as NO_match_behaviour_scorecard_id,
count( case when exp.behaviour_scorecard_id_uk is null and cal_behaviour_scorecard_id  is null then 1 end  ) as both_null,
count( case when exp.behaviour_scorecard_id_uk is null and cal_behaviour_scorecard_id  is not null then 1 end  ) as exp_null_src_not_null_behaviour_scorecard_id,
count( case when exp.behaviour_scorecard_id_uk is not null and cal_behaviour_scorecard_id  is  null then 1 end  ) as exp_not_null_src_null_behaviour_scorecard_id,
count( case when exp.behaviour_scorecard_value_uk= calc_behaviour_score_value  then 1 end  ) as match_behaviour_scorecard_value_uk,
count( case when exp.behaviour_scorecard_value_uk!= calc_behaviour_score_value  then 1 end  ) as NO_match_behaviour_scorecard_value_uk,
count( case when exp.behaviour_scorecard_value_uk is null and calc_behaviour_score_value  is null then 1 end  ) as both_null_behaviour_scorecard_value_uk,
count( case when exp.behaviour_scorecard_value_uk is null and calc_behaviour_score_value  is not null then 1 end  ) as exp_null_src_not_null_behaviour_scorecard_value_uk,
count( case when exp.behaviour_scorecard_value_uk is not null and calc_behaviour_score_value  is  null then 1 end  ) as exp_not_null_src_null_behaviour_scorecard_value_uk,
count( case when exp.behaviour_scorecard_id_ecb= calc_behaviour_scorecard_id_ecb  then 1 end  ) as match_behaviour_scorecard_id_ecb,
count( case when exp.behaviour_scorecard_id_ecb!= calc_behaviour_scorecard_id_ecb  then 1 end  ) as NO_match_behaviour_scorecard_id_ecb,
count( case when exp.behaviour_scorecard_id_ecb is null and calc_behaviour_scorecard_id_ecb  is null then 1 end  ) as both_null_behaviour_scorecard_id_ecb,
count( case when exp.behaviour_scorecard_id_ecb is null and calc_behaviour_scorecard_id_ecb  is not null then 1 end  ) as exp_null_src_not_null_behaviour_scorecard_id_ecb,
count( case when exp.behaviour_scorecard_id_ecb is not null and calc_behaviour_scorecard_id_ecb  is  null then 1 end  ) as exp_not_null_src_null_behaviour_scorecard_id_ecb,
count( case when exp.behaviour_scorecard_value_ecb= calc_behaviour_score_value_ecb  then 1 end  ) as match_behaviour_score_value_ecb,
count( case when exp.behaviour_scorecard_value_ecb!= calc_behaviour_score_value_ecb  then 1 end  ) as NO_match_behaviour_score_value_ecb,
count( case when exp.behaviour_scorecard_value_ecb is null and calc_behaviour_score_value_ecb  is null then 1 end  ) as both_null_behaviour_score_value_ecb,
count( case when exp.behaviour_scorecard_value_ecb is null and calc_behaviour_score_value_ecb  is not null then 1 end  ) as exp_null_src_not_null_behaviour_score_value_ecb,
count( case when exp.behaviour_scorecard_value_ecb is not null and calc_behaviour_score_value_ecb  is  null then 1 end  ) as exp_not_null_src_null_behaviour_score_value_ecb
from
(select date_processed, audt_process_timestamp, cntr_contract_id, behaviour_scorecard_id_uk, behaviour_scorecard_value_uk,
behaviour_scorecard_id_ecb, behaviour_scorecard_value_ecb
from 
prod_retail_capital_enriched.main_banking_driver_partitions
where date_processed = '2024-12-31' and audt_execution_version = 'MCM7') exp
left join
(select contract_id, case
when behaviour_scorecard_id is null and behaviour_score_value = 3 then '69'
when behaviour_scorecard_id is null and behaviour_score_value = 5 then '610'
else cast(behaviour_scorecard_id as string) end as cal_behaviour_scorecard_id,
behaviour_score_value as calc_behaviour_score_value,behaviour_score_value_ecb as calc_behaviour_score_value_ecb,
cast(behaviour_scorecard_id_ecb as string) as calc_behaviour_scorecard_id_ecb
from
(select contract_id, behaviour_scorecard_id, behaviour_score_value,behaviour_score_value_ecb,
behaviour_scorecard_id_ecb
from prod_multi_entity_capital_enriched.main_contract_partitions mcp
left join
prod_retail_decisioning_enriched.behavioural_scoring_partitions beh
on cntr_contract_id = contract_id and mcp.date_processed = beh.date_processed
where mcp.date_processed = '2024-12-31' and mcp.audt_execution_version = 'MCM7') tbl1) tbl2
on exp.cntr_contract_id = contract_id
group by date_processed, audt_process_timestamp</t>
  </si>
  <si>
    <t>audt_execution_version</t>
  </si>
  <si>
    <t>src_cntr_contract_idcount</t>
  </si>
  <si>
    <t>tgt_cntr_contract_idcount</t>
  </si>
  <si>
    <t>cntr_contract_id_count</t>
  </si>
  <si>
    <t>holding_reference_count</t>
  </si>
  <si>
    <t>pd_segment_count</t>
  </si>
  <si>
    <t>pd_approach_count</t>
  </si>
  <si>
    <t>pd_reg_count</t>
  </si>
  <si>
    <t>lgd_reg_count</t>
  </si>
  <si>
    <t>audt_process_timestamp_count</t>
  </si>
  <si>
    <t>software_version_count</t>
  </si>
  <si>
    <t>ead_reg_count</t>
  </si>
  <si>
    <t>audt_execution_version_count</t>
  </si>
  <si>
    <t>MCM7</t>
  </si>
  <si>
    <t>0</t>
  </si>
  <si>
    <t>T05 -prod_retail_capital_enriched.banking_irb2_model_ecb_partitions regression in pre</t>
  </si>
  <si>
    <t>prod null exp not null cntr_contract_id</t>
  </si>
  <si>
    <t>prod not null exp null cntr_contract_id</t>
  </si>
  <si>
    <t>prod null exp not null holding_reference</t>
  </si>
  <si>
    <t>prod not null exp null holding_reference</t>
  </si>
  <si>
    <t>match default_ind</t>
  </si>
  <si>
    <t>no match default_ind</t>
  </si>
  <si>
    <t>prod null exp not null default_ind</t>
  </si>
  <si>
    <t>prod not null exp null default_ind</t>
  </si>
  <si>
    <t>match lgd_leaf</t>
  </si>
  <si>
    <t>no match lgd_leaf</t>
  </si>
  <si>
    <t>prod null exp not null lgd_leaf</t>
  </si>
  <si>
    <t>prod not null exp null lgd_leaf</t>
  </si>
  <si>
    <t>match lgd_grade</t>
  </si>
  <si>
    <t>no match lgd_grade</t>
  </si>
  <si>
    <t>prod null exp not null lgd_grade</t>
  </si>
  <si>
    <t>prod not null exp null lgd_grade</t>
  </si>
  <si>
    <t>match lgd_dt</t>
  </si>
  <si>
    <t>no match lgd_dt</t>
  </si>
  <si>
    <t>prod null exp not null lgd_dt</t>
  </si>
  <si>
    <t>prod not null exp null lgd_dt</t>
  </si>
  <si>
    <t>match lgd_dt_no_moc</t>
  </si>
  <si>
    <t>no match lgd_dt_no_moc</t>
  </si>
  <si>
    <t>prod null exp not null lgd_dt_no_moc</t>
  </si>
  <si>
    <t>prod not null exp null lgd_dt_no_moc</t>
  </si>
  <si>
    <t>match lgd_lra</t>
  </si>
  <si>
    <t>no match lgd_lra</t>
  </si>
  <si>
    <t>prod null exp not null lgd_lra</t>
  </si>
  <si>
    <t>prod not null exp null lgd_lra</t>
  </si>
  <si>
    <t>match lgd_lra_no_moc</t>
  </si>
  <si>
    <t>no match lgd_lra_no_moc</t>
  </si>
  <si>
    <t>prod null exp not null lgd_lra_no_moc</t>
  </si>
  <si>
    <t>prod not null exp null lgd_lra_no_moc</t>
  </si>
  <si>
    <t>match lgd_reg</t>
  </si>
  <si>
    <t>no match lgd_reg</t>
  </si>
  <si>
    <t>prod null exp not null lgd_reg</t>
  </si>
  <si>
    <t>prod not null exp null lgd_reg</t>
  </si>
  <si>
    <t>match lgd_ec</t>
  </si>
  <si>
    <t>no match lgd_ec</t>
  </si>
  <si>
    <t>prod null exp not null lgd_ec</t>
  </si>
  <si>
    <t>prod not null exp null lgd_ec</t>
  </si>
  <si>
    <t>match lgd_elbe_reg</t>
  </si>
  <si>
    <t>no match lgd_elbe_reg</t>
  </si>
  <si>
    <t>prod null exp not null lgd_elbe_reg</t>
  </si>
  <si>
    <t>prod not null exp null lgd_elbe_reg</t>
  </si>
  <si>
    <t>match lgd_elbe_ec</t>
  </si>
  <si>
    <t>no match lgd_elbe_ec</t>
  </si>
  <si>
    <t>prod null exp not null lgd_elbe_ec</t>
  </si>
  <si>
    <t>prod not null exp null lgd_elbe_ec</t>
  </si>
  <si>
    <t>match pd_score</t>
  </si>
  <si>
    <t>no match pd_score</t>
  </si>
  <si>
    <t>prod null exp not null pd_score</t>
  </si>
  <si>
    <t>prod not null exp null pd_score</t>
  </si>
  <si>
    <t>match pd_score_type</t>
  </si>
  <si>
    <t>no match pd_score_type</t>
  </si>
  <si>
    <t>prod null exp not null pd_score_type</t>
  </si>
  <si>
    <t>prod not null exp null pd_score_type</t>
  </si>
  <si>
    <t>match pd_segment</t>
  </si>
  <si>
    <t>no match pd_segment</t>
  </si>
  <si>
    <t>prod null exp not null pd_segment</t>
  </si>
  <si>
    <t>prod not null exp null pd_segment</t>
  </si>
  <si>
    <t>match pd_leaf</t>
  </si>
  <si>
    <t>no match pd_leaf</t>
  </si>
  <si>
    <t>prod null exp not null pd_leaf</t>
  </si>
  <si>
    <t>prod not null exp null pd_leaf</t>
  </si>
  <si>
    <t>match pd_reg</t>
  </si>
  <si>
    <t>no match pd_reg</t>
  </si>
  <si>
    <t>prod null exp not null pd_reg</t>
  </si>
  <si>
    <t>prod not null exp null pd_reg</t>
  </si>
  <si>
    <t>match pd_reg_no_moc</t>
  </si>
  <si>
    <t>no match pd_reg_no_moc</t>
  </si>
  <si>
    <t>prod null exp not null pd_reg_no_moc</t>
  </si>
  <si>
    <t>prod not null exp null pd_reg_no_moc</t>
  </si>
  <si>
    <t>match pd_ec</t>
  </si>
  <si>
    <t>no match pd_ec</t>
  </si>
  <si>
    <t>prod null exp not null pd_ec</t>
  </si>
  <si>
    <t>prod not null exp null pd_ec</t>
  </si>
  <si>
    <t>match ead_segment</t>
  </si>
  <si>
    <t>no match ead_segment</t>
  </si>
  <si>
    <t>prod null exp not null ead_segment</t>
  </si>
  <si>
    <t>prod not null exp null ead_segment</t>
  </si>
  <si>
    <t>match ead_leaf</t>
  </si>
  <si>
    <t>no match ead_leaf</t>
  </si>
  <si>
    <t>prod null exp not null ead_leaf</t>
  </si>
  <si>
    <t>prod not null exp null ead_leaf</t>
  </si>
  <si>
    <t>match ead_grade</t>
  </si>
  <si>
    <t>no match ead_grade</t>
  </si>
  <si>
    <t>prod null exp not null ead_grade</t>
  </si>
  <si>
    <t>prod not null exp null ead_grade</t>
  </si>
  <si>
    <t>match bal_movement_dt_pre_moc</t>
  </si>
  <si>
    <t>no match bal_movement_dt_pre_moc</t>
  </si>
  <si>
    <t>prod null exp not null bal_movement_dt_pre_moc</t>
  </si>
  <si>
    <t>prod not null exp null bal_movement_dt_pre_moc</t>
  </si>
  <si>
    <t>match bal_movement_lra_post_moc</t>
  </si>
  <si>
    <t>no match bal_movement_lra_post_moc</t>
  </si>
  <si>
    <t>prod null exp not null bal_movement_lra_post_moc</t>
  </si>
  <si>
    <t>prod not null exp null bal_movement_lra_post_moc</t>
  </si>
  <si>
    <t>match bal_movement_dt_post_moc</t>
  </si>
  <si>
    <t>no match bal_movement_dt_post_moc</t>
  </si>
  <si>
    <t>prod null exp not null bal_movement_dt_post_moc</t>
  </si>
  <si>
    <t>prod not null exp null bal_movement_dt_post_moc</t>
  </si>
  <si>
    <t>match bal_movement_ec</t>
  </si>
  <si>
    <t>no match bal_movement_ec</t>
  </si>
  <si>
    <t>prod null exp not null bal_movement_ec</t>
  </si>
  <si>
    <t>prod not null exp null bal_movement_ec</t>
  </si>
  <si>
    <t>match ccf_pre_moc</t>
  </si>
  <si>
    <t>no match ccf_pre_moc</t>
  </si>
  <si>
    <t>prod null exp not null ccf_pre_moc</t>
  </si>
  <si>
    <t>prod not null exp null ccf_pre_moc</t>
  </si>
  <si>
    <t>match ccf_lra_post_moc</t>
  </si>
  <si>
    <t>no match ccf_lra_post_moc</t>
  </si>
  <si>
    <t>prod null exp not null ccf_lra_post_moc</t>
  </si>
  <si>
    <t>prod not null exp null ccf_lra_post_moc</t>
  </si>
  <si>
    <t>match ccf_dt_post_moc</t>
  </si>
  <si>
    <t>no match ccf_dt_post_moc</t>
  </si>
  <si>
    <t>prod null exp not null ccf_dt_post_moc</t>
  </si>
  <si>
    <t>prod not null exp null ccf_dt_post_moc</t>
  </si>
  <si>
    <t>match ccf_ec</t>
  </si>
  <si>
    <t>no match ccf_ec</t>
  </si>
  <si>
    <t>prod null exp not null ccf_ec</t>
  </si>
  <si>
    <t>prod not null exp null ccf_ec</t>
  </si>
  <si>
    <t>match ead_adjustment</t>
  </si>
  <si>
    <t>no match ead_adjustment</t>
  </si>
  <si>
    <t>prod null exp not null ead_adjustment</t>
  </si>
  <si>
    <t>prod not null exp null ead_adjustment</t>
  </si>
  <si>
    <t>match ead_reg</t>
  </si>
  <si>
    <t>no match ead_reg</t>
  </si>
  <si>
    <t>prod null exp not null ead_reg</t>
  </si>
  <si>
    <t>prod not null exp null ead_reg</t>
  </si>
  <si>
    <t>match ead_ec</t>
  </si>
  <si>
    <t>no match ead_ec</t>
  </si>
  <si>
    <t>prod null exp not null ead_ec</t>
  </si>
  <si>
    <t>prod not null exp null ead_ec</t>
  </si>
  <si>
    <t>match on_bal_ccf_reg</t>
  </si>
  <si>
    <t>no match on_bal_ccf_reg</t>
  </si>
  <si>
    <t>prod null exp not null on_bal_ccf_reg</t>
  </si>
  <si>
    <t>prod not null exp null on_bal_ccf_reg</t>
  </si>
  <si>
    <t>match on_bal_ccf_ec</t>
  </si>
  <si>
    <t>no match on_bal_ccf_ec</t>
  </si>
  <si>
    <t>prod null exp not null on_bal_ccf_ec</t>
  </si>
  <si>
    <t>prod not null exp null on_bal_ccf_ec</t>
  </si>
  <si>
    <t>match off_bal_ccf_reg</t>
  </si>
  <si>
    <t>no match off_bal_ccf_reg</t>
  </si>
  <si>
    <t>prod null exp not null off_bal_ccf_reg</t>
  </si>
  <si>
    <t>prod not null exp null off_bal_ccf_reg</t>
  </si>
  <si>
    <t>match off_bal_ccf_ec</t>
  </si>
  <si>
    <t>no match off_bal_ccf_ec</t>
  </si>
  <si>
    <t>prod null exp not null off_bal_ccf_ec</t>
  </si>
  <si>
    <t>prod not null exp null off_bal_ccf_ec</t>
  </si>
  <si>
    <t>match nominal_balance_reg</t>
  </si>
  <si>
    <t>no match nominal_balance_reg</t>
  </si>
  <si>
    <t>prod null exp not null nominal_balance_reg</t>
  </si>
  <si>
    <t>prod not null exp null nominal_balance_reg</t>
  </si>
  <si>
    <t>match nominal_balance_ec</t>
  </si>
  <si>
    <t>no match nominal_balance_ec</t>
  </si>
  <si>
    <t>prod null exp not null nominal_balance_ec</t>
  </si>
  <si>
    <t>prod not null exp null nominal_balance_ec</t>
  </si>
  <si>
    <t>match audt_process_status</t>
  </si>
  <si>
    <t>no match audt_process_status</t>
  </si>
  <si>
    <t>prod null exp not null audt_process_status</t>
  </si>
  <si>
    <t>prod not null exp null audt_process_status</t>
  </si>
  <si>
    <t>prod null exp not null audt_process_timestamp</t>
  </si>
  <si>
    <t>prod not null exp null audt_process_timestamp</t>
  </si>
  <si>
    <t>prod null exp not null software_version</t>
  </si>
  <si>
    <t>prod not null exp null software_version</t>
  </si>
  <si>
    <t>2025-01-07 17:17:40.564</t>
  </si>
  <si>
    <t>2025-06-19 18:19:59.963</t>
  </si>
  <si>
    <t>2025-07-29 10:44:02.422</t>
  </si>
  <si>
    <t>select count(*),exp.date_processed,prod.audt_process_timestamp, exp.audt_process_timestamp,
count(case when prod.cntr_contract_id = exp.cntr_contract_id or ( prod.cntr_contract_id is null and exp.cntr_contract_id is null) then 1 end) as 'match cntr_contract_id', 
count(case when prod.cntr_contract_id &lt;&gt; exp.cntr_contract_id then 1 end) as 'NO match cntr_contract_id', 
count(case when prod.cntr_contract_id is null and exp.cntr_contract_id is not null then 1 end) as 'prod null exp Not null cntr_contract_id', 
count(case when prod.cntr_contract_id is not null and exp.cntr_contract_id is null then 1 end) as 'prod NOT null exp null cntr_contract_id',
count(case when prod.holding_reference = exp.holding_reference or ( prod.holding_reference is null and exp.holding_reference is null) then 1 end) as 'match holding_reference', 
count(case when prod.holding_reference &lt;&gt; exp.holding_reference then 1 end) as 'NO match holding_reference', 
count(case when prod.holding_reference is null and exp.holding_reference is not null then 1 end) as 'prod null exp Not null holding_reference', 
count(case when prod.holding_reference is not null and exp.holding_reference is null then 1 end) as 'prod NOT null exp null holding_reference',
count(case when prod.default_ind = exp.default_ind or ( prod.default_ind is null and exp.default_ind is null) then 1 end) as 'match default_ind', 
count(case when prod.default_ind &lt;&gt; exp.default_ind then 1 end) as 'NO match default_ind', 
count(case when prod.default_ind is null and exp.default_ind is not null then 1 end) as 'prod null exp Not null default_ind', 
count(case when prod.default_ind is not null and exp.default_ind is null then 1 end) as 'prod NOT null exp null default_ind',
count(case when prod.lgd_leaf = exp.lgd_leaf or ( prod.lgd_leaf is null and exp.lgd_leaf is null) then 1 end) as 'match lgd_leaf', 
count(case when prod.lgd_leaf &lt;&gt; exp.lgd_leaf then 1 end) as 'NO match lgd_leaf', 
count(case when prod.lgd_leaf is null and exp.lgd_leaf is not null then 1 end) as 'prod null exp Not null lgd_leaf', 
count(case when prod.lgd_leaf is not null and exp.lgd_leaf is null then 1 end) as 'prod NOT null exp null lgd_leaf',
count(case when prod.lgd_grade = exp.lgd_grade or ( prod.lgd_grade is null and exp.lgd_grade is null) then 1 end) as 'match lgd_grade', 
count(case when prod.lgd_grade &lt;&gt; exp.lgd_grade then 1 end) as 'NO match lgd_grade', 
count(case when prod.lgd_grade is null and exp.lgd_grade is not null then 1 end) as 'prod null exp Not null lgd_grade', 
count(case when prod.lgd_grade is not null and exp.lgd_grade is null then 1 end) as 'prod NOT null exp null lgd_grade',
count(case when prod.lgd_dt = exp.lgd_dt or ( prod.lgd_dt is null and exp.lgd_dt is null) then 1 end) as 'match lgd_dt', 
count(case when prod.lgd_dt &lt;&gt; exp.lgd_dt then 1 end) as 'NO match lgd_dt', 
count(case when prod.lgd_dt is null and exp.lgd_dt is not null then 1 end) as 'prod null exp Not null lgd_dt', 
count(case when prod.lgd_dt is not null and exp.lgd_dt is null then 1 end) as 'prod NOT null exp null lgd_dt',
count(case when prod.lgd_dt_no_moc = exp.lgd_dt_no_moc or ( prod.lgd_dt_no_moc is null and exp.lgd_dt_no_moc is null) then 1 end) as 'match lgd_dt_no_moc', 
count(case when prod.lgd_dt_no_moc &lt;&gt; exp.lgd_dt_no_moc then 1 end) as 'NO match lgd_dt_no_moc', 
count(case when prod.lgd_dt_no_moc is null and exp.lgd_dt_no_moc is not null then 1 end) as 'prod null exp Not null lgd_dt_no_moc', 
count(case when prod.lgd_dt_no_moc is not null and exp.lgd_dt_no_moc is null then 1 end) as 'prod NOT null exp null lgd_dt_no_moc',
count(case when prod.lgd_lra = exp.lgd_lra or ( prod.lgd_lra is null and exp.lgd_lra is null) then 1 end) as 'match lgd_lra', 
count(case when prod.lgd_lra &lt;&gt; exp.lgd_lra then 1 end) as 'NO match lgd_lra', 
count(case when prod.lgd_lra is null and exp.lgd_lra is not null then 1 end) as 'prod null exp Not null lgd_lra', 
count(case when prod.lgd_lra is not null and exp.lgd_lra is null then 1 end) as 'prod NOT null exp null lgd_lra',
count(case when prod.lgd_lra_no_moc = exp.lgd_lra_no_moc or ( prod.lgd_lra_no_moc is null and exp.lgd_lra_no_moc is null) then 1 end) as 'match lgd_lra_no_moc', 
count(case when prod.lgd_lra_no_moc &lt;&gt; exp.lgd_lra_no_moc then 1 end) as 'NO match lgd_lra_no_moc', 
count(case when prod.lgd_lra_no_moc is null and exp.lgd_lra_no_moc is not null then 1 end) as 'prod null exp Not null lgd_lra_no_moc', 
count(case when prod.lgd_lra_no_moc is not null and exp.lgd_lra_no_moc is null then 1 end) as 'prod NOT null exp null lgd_lra_no_moc',
count(case when prod.lgd_reg = exp.lgd_reg or ( prod.lgd_reg is null and exp.lgd_reg is null) then 1 end) as 'match lgd_reg', 
count(case when prod.lgd_reg &lt;&gt; exp.lgd_reg then 1 end) as 'NO match lgd_reg', 
count(case when prod.lgd_reg is null and exp.lgd_reg is not null then 1 end) as 'prod null exp Not null lgd_reg', 
count(case when prod.lgd_reg is not null and exp.lgd_reg is null then 1 end) as 'prod NOT null exp null lgd_reg',
count(case when prod.lgd_ec = exp.lgd_ec or ( prod.lgd_ec is null and exp.lgd_ec is null) then 1 end) as 'match lgd_ec', 
count(case when prod.lgd_ec &lt;&gt; exp.lgd_ec then 1 end) as 'NO match lgd_ec', 
count(case when prod.lgd_ec is null and exp.lgd_ec is not null then 1 end) as 'prod null exp Not null lgd_ec', 
count(case when prod.lgd_ec is not null and exp.lgd_ec is null then 1 end) as 'prod NOT null exp null lgd_ec',
count(case when prod.lgd_elbe_reg = exp.lgd_elbe_reg or ( prod.lgd_elbe_reg is null and exp.lgd_elbe_reg is null) then 1 end) as 'match lgd_elbe_reg', 
count(case when prod.lgd_elbe_reg &lt;&gt; exp.lgd_elbe_reg then 1 end) as 'NO match lgd_elbe_reg', 
count(case when prod.lgd_elbe_reg is null and exp.lgd_elbe_reg is not null then 1 end) as 'prod null exp Not null lgd_elbe_reg', 
count(case when prod.lgd_elbe_reg is not null and exp.lgd_elbe_reg is null then 1 end) as 'prod NOT null exp null lgd_elbe_reg',
count(case when prod.lgd_elbe_ec = exp.lgd_elbe_ec or ( prod.lgd_elbe_ec is null and exp.lgd_elbe_ec is null) then 1 end) as 'match lgd_elbe_ec', 
count(case when prod.lgd_elbe_ec &lt;&gt; exp.lgd_elbe_ec then 1 end) as 'NO match lgd_elbe_ec', 
count(case when prod.lgd_elbe_ec is null and exp.lgd_elbe_ec is not null then 1 end) as 'prod null exp Not null lgd_elbe_ec', 
count(case when prod.lgd_elbe_ec is not null and exp.lgd_elbe_ec is null then 1 end) as 'prod NOT null exp null lgd_elbe_ec',
count(case when prod.pd_score = exp.pd_score or ( prod.pd_score is null and exp.pd_score is null) then 1 end) as 'match pd_score', 
count(case when prod.pd_score &lt;&gt; exp.pd_score then 1 end) as 'NO match pd_score', 
count(case when prod.pd_score is null and exp.pd_score is not null then 1 end) as 'prod null exp Not null pd_score', 
count(case when prod.pd_score is not null and exp.pd_score is null then 1 end) as 'prod NOT null exp null pd_score',
count(case when prod.pd_score_type = exp.pd_score_type or ( prod.pd_score_type is null and exp.pd_score_type is null) then 1 end) as 'match pd_score_type', 
count(case when prod.pd_score_type &lt;&gt; exp.pd_score_type then 1 end) as 'NO match pd_score_type', 
count(case when prod.pd_score_type is null and exp.pd_score_type is not null then 1 end) as 'prod null exp Not null pd_score_type', 
count(case when prod.pd_score_type is not null and exp.pd_score_type is null then 1 end) as 'prod NOT null exp null pd_score_type',
count(case when prod.pd_segment = exp.pd_segment or ( prod.pd_segment is null and exp.pd_segment is null) then 1 end) as 'match pd_segment', 
count(case when prod.pd_segment &lt;&gt; exp.pd_segment then 1 end) as 'NO match pd_segment', 
count(case when prod.pd_segment is null and exp.pd_segment is not null then 1 end) as 'prod null exp Not null pd_segment', 
count(case when prod.pd_segment is not null and exp.pd_segment is null then 1 end) as 'prod NOT null exp null pd_segment',
count(case when prod.pd_leaf = exp.pd_leaf or ( prod.pd_leaf is null and exp.pd_leaf is null) then 1 end) as 'match pd_leaf', 
count(case when prod.pd_leaf &lt;&gt; exp.pd_leaf then 1 end) as 'NO match pd_leaf', 
count(case when prod.pd_leaf is null and exp.pd_leaf is not null then 1 end) as 'prod null exp Not null pd_leaf', 
count(case when prod.pd_leaf is not null and exp.pd_leaf is null then 1 end) as 'prod NOT null exp null pd_leaf',
count(case when prod.pd_reg = exp.pd_reg or ( prod.pd_reg is null and exp.pd_reg is null) then 1 end) as 'match pd_reg', 
count(case when prod.pd_reg &lt;&gt; exp.pd_reg then 1 end) as 'NO match pd_reg', 
count(case when prod.pd_reg is null and exp.pd_reg is not null then 1 end) as 'prod null exp Not null pd_reg', 
count(case when prod.pd_reg is not null and exp.pd_reg is null then 1 end) as 'prod NOT null exp null pd_reg',
count(case when prod.pd_reg_no_moc = exp.pd_reg_no_moc or ( prod.pd_reg_no_moc is null and exp.pd_reg_no_moc is null) then 1 end) as 'match pd_reg_no_moc', 
count(case when prod.pd_reg_no_moc &lt;&gt; exp.pd_reg_no_moc then 1 end) as 'NO match pd_reg_no_moc', 
count(case when prod.pd_reg_no_moc is null and exp.pd_reg_no_moc is not null then 1 end) as 'prod null exp Not null pd_reg_no_moc', 
count(case when prod.pd_reg_no_moc is not null and exp.pd_reg_no_moc is null then 1 end) as 'prod NOT null exp null pd_reg_no_moc',
count(case when prod.pd_ec = exp.pd_ec or ( prod.pd_ec is null and exp.pd_ec is null) then 1 end) as 'match pd_ec', 
count(case when prod.pd_ec &lt;&gt; exp.pd_ec then 1 end) as 'NO match pd_ec', 
count(case when prod.pd_ec is null and exp.pd_ec is not null then 1 end) as 'prod null exp Not null pd_ec', 
count(case when prod.pd_ec is not null and exp.pd_ec is null then 1 end) as 'prod NOT null exp null pd_ec',
count(case when prod.ead_segment = exp.ead_segment or ( prod.ead_segment is null and exp.ead_segment is null) then 1 end) as 'match ead_segment', 
count(case when prod.ead_segment &lt;&gt; exp.ead_segment then 1 end) as 'NO match ead_segment', 
count(case when prod.ead_segment is null and exp.ead_segment is not null then 1 end) as 'prod null exp Not null ead_segment', 
count(case when prod.ead_segment is not null and exp.ead_segment is null then 1 end) as 'prod NOT null exp null ead_segment',
count(case when prod.ead_leaf = exp.ead_leaf or ( prod.ead_leaf is null and exp.ead_leaf is null) then 1 end) as 'match ead_leaf', 
count(case when prod.ead_leaf &lt;&gt; exp.ead_leaf then 1 end) as 'NO match ead_leaf', 
count(case when prod.ead_leaf is null and exp.ead_leaf is not null then 1 end) as 'prod null exp Not null ead_leaf', 
count(case when prod.ead_leaf is not null and exp.ead_leaf is null then 1 end) as 'prod NOT null exp null ead_leaf',
count(case when prod.ead_grade = exp.ead_grade or ( prod.ead_grade is null and exp.ead_grade is null) then 1 end) as 'match ead_grade', 
count(case when prod.ead_grade &lt;&gt; exp.ead_grade then 1 end) as 'NO match ead_grade', 
count(case when prod.ead_grade is null and exp.ead_grade is not null then 1 end) as 'prod null exp Not null ead_grade', 
count(case when prod.ead_grade is not null and exp.ead_grade is null then 1 end) as 'prod NOT null exp null ead_grade',
count(case when prod.bal_movement_dt_pre_moc = exp.bal_movement_dt_pre_moc or ( prod.bal_movement_dt_pre_moc is null and exp.bal_movement_dt_pre_moc is null) then 1 end) as 'match bal_movement_dt_pre_moc', 
count(case when prod.bal_movement_dt_pre_moc &lt;&gt; exp.bal_movement_dt_pre_moc then 1 end) as 'NO match bal_movement_dt_pre_moc', 
count(case when prod.bal_movement_dt_pre_moc is null and exp.bal_movement_dt_pre_moc is not null then 1 end) as 'prod null exp Not null bal_movement_dt_pre_moc', 
count(case when prod.bal_movement_dt_pre_moc is not null and exp.bal_movement_dt_pre_moc is null then 1 end) as 'prod NOT null exp null bal_movement_dt_pre_moc',
count(case when prod.bal_movement_lra_post_moc = exp.bal_movement_lra_post_moc or ( prod.bal_movement_lra_post_moc is null and exp.bal_movement_lra_post_moc is null) then 1 end) as 'match bal_movement_lra_post_moc', 
count(case when prod.bal_movement_lra_post_moc &lt;&gt; exp.bal_movement_lra_post_moc then 1 end) as 'NO match bal_movement_lra_post_moc', 
count(case when prod.bal_movement_lra_post_moc is null and exp.bal_movement_lra_post_moc is not null then 1 end) as 'prod null exp Not null bal_movement_lra_post_moc', 
count(case when prod.bal_movement_lra_post_moc is not null and exp.bal_movement_lra_post_moc is null then 1 end) as 'prod NOT null exp null bal_movement_lra_post_moc',
count(case when prod.bal_movement_dt_post_moc = exp.bal_movement_dt_post_moc or ( prod.bal_movement_dt_post_moc is null and exp.bal_movement_dt_post_moc is null) then 1 end) as 'match bal_movement_dt_post_moc', 
count(case when prod.bal_movement_dt_post_moc &lt;&gt; exp.bal_movement_dt_post_moc then 1 end) as 'NO match bal_movement_dt_post_moc', 
count(case when prod.bal_movement_dt_post_moc is null and exp.bal_movement_dt_post_moc is not null then 1 end) as 'prod null exp Not null bal_movement_dt_post_moc', 
count(case when prod.bal_movement_dt_post_moc is not null and exp.bal_movement_dt_post_moc is null then 1 end) as 'prod NOT null exp null bal_movement_dt_post_moc',
count(case when prod.bal_movement_ec = exp.bal_movement_ec or ( prod.bal_movement_ec is null and exp.bal_movement_ec is null) then 1 end) as 'match bal_movement_ec', 
count(case when prod.bal_movement_ec &lt;&gt; exp.bal_movement_ec then 1 end) as 'NO match bal_movement_ec', 
count(case when prod.bal_movement_ec is null and exp.bal_movement_ec is not null then 1 end) as 'prod null exp Not null bal_movement_ec', 
count(case when prod.bal_movement_ec is not null and exp.bal_movement_ec is null then 1 end) as 'prod NOT null exp null bal_movement_ec',
count(case when prod.ccf_pre_moc = exp.ccf_pre_moc or ( prod.ccf_pre_moc is null and exp.ccf_pre_moc is null) then 1 end) as 'match ccf_pre_moc', 
count(case when prod.ccf_pre_moc &lt;&gt; exp.ccf_pre_moc then 1 end) as 'NO match ccf_pre_moc', 
count(case when prod.ccf_pre_moc is null and exp.ccf_pre_moc is not null then 1 end) as 'prod null exp Not null ccf_pre_moc', 
count(case when prod.ccf_pre_moc is not null and exp.ccf_pre_moc is null then 1 end) as 'prod NOT null exp null ccf_pre_moc',
count(case when prod.ccf_lra_post_moc = exp.ccf_lra_post_moc or ( prod.ccf_lra_post_moc is null and exp.ccf_lra_post_moc is null) then 1 end) as 'match ccf_lra_post_moc', 
count(case when prod.ccf_lra_post_moc &lt;&gt; exp.ccf_lra_post_moc then 1 end) as 'NO match ccf_lra_post_moc', 
count(case when prod.ccf_lra_post_moc is null and exp.ccf_lra_post_moc is not null then 1 end) as 'prod null exp Not null ccf_lra_post_moc', 
count(case when prod.ccf_lra_post_moc is not null and exp.ccf_lra_post_moc is null then 1 end) as 'prod NOT null exp null ccf_lra_post_moc',
count(case when prod.ccf_dt_post_moc = exp.ccf_dt_post_moc or ( prod.ccf_dt_post_moc is null and exp.ccf_dt_post_moc is null) then 1 end) as 'match ccf_dt_post_moc', 
count(case when prod.ccf_dt_post_moc &lt;&gt; exp.ccf_dt_post_moc then 1 end) as 'NO match ccf_dt_post_moc', 
count(case when prod.ccf_dt_post_moc is null and exp.ccf_dt_post_moc is not null then 1 end) as 'prod null exp Not null ccf_dt_post_moc', 
count(case when prod.ccf_dt_post_moc is not null and exp.ccf_dt_post_moc is null then 1 end) as 'prod NOT null exp null ccf_dt_post_moc',
count(case when prod.ccf_ec = exp.ccf_ec or ( prod.ccf_ec is null and exp.ccf_ec is null) then 1 end) as 'match ccf_ec', 
count(case when prod.ccf_ec &lt;&gt; exp.ccf_ec then 1 end) as 'NO match ccf_ec', 
count(case when prod.ccf_ec is null and exp.ccf_ec is not null then 1 end) as 'prod null exp Not null ccf_ec', 
count(case when prod.ccf_ec is not null and exp.ccf_ec is null then 1 end) as 'prod NOT null exp null ccf_ec',
count(case when prod.ead_adjustment = exp.ead_adjustment or ( prod.ead_adjustment is null and exp.ead_adjustment is null) then 1 end) as 'match ead_adjustment', 
count(case when prod.ead_adjustment &lt;&gt; exp.ead_adjustment then 1 end) as 'NO match ead_adjustment', 
count(case when prod.ead_adjustment is null and exp.ead_adjustment is not null then 1 end) as 'prod null exp Not null ead_adjustment', 
count(case when prod.ead_adjustment is not null and exp.ead_adjustment is null then 1 end) as 'prod NOT null exp null ead_adjustment',
count(case when prod.ead_reg = exp.ead_reg or ( prod.ead_reg is null and exp.ead_reg is null) then 1 end) as 'match ead_reg', 
count(case when prod.ead_reg &lt;&gt; exp.ead_reg then 1 end) as 'NO match ead_reg', 
count(case when prod.ead_reg is null and exp.ead_reg is not null then 1 end) as 'prod null exp Not null ead_reg', 
count(case when prod.ead_reg is not null and exp.ead_reg is null then 1 end) as 'prod NOT null exp null ead_reg',
count(case when prod.ead_ec = exp.ead_ec or ( prod.ead_ec is null and exp.ead_ec is null) then 1 end) as 'match ead_ec', 
count(case when prod.ead_ec &lt;&gt; exp.ead_ec then 1 end) as 'NO match ead_ec', 
count(case when prod.ead_ec is null and exp.ead_ec is not null then 1 end) as 'prod null exp Not null ead_ec', 
count(case when prod.ead_ec is not null and exp.ead_ec is null then 1 end) as 'prod NOT null exp null ead_ec',
count(case when prod.on_bal_ccf_reg = exp.on_bal_ccf_reg or ( prod.on_bal_ccf_reg is null and exp.on_bal_ccf_reg is null) then 1 end) as 'match on_bal_ccf_reg', 
count(case when prod.on_bal_ccf_reg &lt;&gt; exp.on_bal_ccf_reg then 1 end) as 'NO match on_bal_ccf_reg', 
count(case when prod.on_bal_ccf_reg is null and exp.on_bal_ccf_reg is not null then 1 end) as 'prod null exp Not null on_bal_ccf_reg', 
count(case when prod.on_bal_ccf_reg is not null and exp.on_bal_ccf_reg is null then 1 end) as 'prod NOT null exp null on_bal_ccf_reg',
count(case when prod.on_bal_ccf_ec = exp.on_bal_ccf_ec or ( prod.on_bal_ccf_ec is null and exp.on_bal_ccf_ec is null) then 1 end) as 'match on_bal_ccf_ec', 
count(case when prod.on_bal_ccf_ec &lt;&gt; exp.on_bal_ccf_ec then 1 end) as 'NO match on_bal_ccf_ec', 
count(case when prod.on_bal_ccf_ec is null and exp.on_bal_ccf_ec is not null then 1 end) as 'prod null exp Not null on_bal_ccf_ec', 
count(case when prod.on_bal_ccf_ec is not null and exp.on_bal_ccf_ec is null then 1 end) as 'prod NOT null exp null on_bal_ccf_ec',
count(case when prod.off_bal_ccf_reg = exp.off_bal_ccf_reg or ( prod.off_bal_ccf_reg is null and exp.off_bal_ccf_reg is null) then 1 end) as 'match off_bal_ccf_reg', 
count(case when prod.off_bal_ccf_reg &lt;&gt; exp.off_bal_ccf_reg then 1 end) as 'NO match off_bal_ccf_reg', 
count(case when prod.off_bal_ccf_reg is null and exp.off_bal_ccf_reg is not null then 1 end) as 'prod null exp Not null off_bal_ccf_reg', 
count(case when prod.off_bal_ccf_reg is not null and exp.off_bal_ccf_reg is null then 1 end) as 'prod NOT null exp null off_bal_ccf_reg',
count(case when prod.off_bal_ccf_ec = exp.off_bal_ccf_ec or ( prod.off_bal_ccf_ec is null and exp.off_bal_ccf_ec is null) then 1 end) as 'match off_bal_ccf_ec', 
count(case when prod.off_bal_ccf_ec &lt;&gt; exp.off_bal_ccf_ec then 1 end) as 'NO match off_bal_ccf_ec', 
count(case when prod.off_bal_ccf_ec is null and exp.off_bal_ccf_ec is not null then 1 end) as 'prod null exp Not null off_bal_ccf_ec', 
count(case when prod.off_bal_ccf_ec is not null and exp.off_bal_ccf_ec is null then 1 end) as 'prod NOT null exp null off_bal_ccf_ec',
count(case when prod.nominal_balance_reg = exp.nominal_balance_reg or ( prod.nominal_balance_reg is null and exp.nominal_balance_reg is null) then 1 end) as 'match nominal_balance_reg', 
count(case when prod.nominal_balance_reg &lt;&gt; exp.nominal_balance_reg then 1 end) as 'NO match nominal_balance_reg', 
count(case when prod.nominal_balance_reg is null and exp.nominal_balance_reg is not null then 1 end) as 'prod null exp Not null nominal_balance_reg', 
count(case when prod.nominal_balance_reg is not null and exp.nominal_balance_reg is null then 1 end) as 'prod NOT null exp null nominal_balance_reg',
count(case when prod.nominal_balance_ec = exp.nominal_balance_ec or ( prod.nominal_balance_ec is null and exp.nominal_balance_ec is null) then 1 end) as 'match nominal_balance_ec', 
count(case when prod.nominal_balance_ec &lt;&gt; exp.nominal_balance_ec then 1 end) as 'NO match nominal_balance_ec', 
count(case when prod.nominal_balance_ec is null and exp.nominal_balance_ec is not null then 1 end) as 'prod null exp Not null nominal_balance_ec', 
count(case when prod.nominal_balance_ec is not null and exp.nominal_balance_ec is null then 1 end) as 'prod NOT null exp null nominal_balance_ec',
count(case when prod.audt_process_status = exp.audt_process_status or ( prod.audt_process_status is null and exp.audt_process_status is null) then 1 end) as 'match audt_process_status', 
count(case when prod.audt_process_status &lt;&gt; exp.audt_process_status then 1 end) as 'NO match audt_process_status', 
count(case when prod.audt_process_status is null and exp.audt_process_status is not null then 1 end) as 'prod null exp Not null audt_process_status', 
count(case when prod.audt_process_status is not null and exp.audt_process_status is null then 1 end) as 'prod NOT null exp null audt_process_status',
count(case when prod.audt_process_timestamp = exp.audt_process_timestamp or ( prod.audt_process_timestamp is null and exp.audt_process_timestamp is null) then 1 end) as 'match audt_process_timestamp', 
count(case when prod.audt_process_timestamp &lt;&gt; exp.audt_process_timestamp then 1 end) as 'NO match audt_process_timestamp', 
count(case when prod.audt_process_timestamp is null and exp.audt_process_timestamp is not null then 1 end) as 'prod null exp Not null audt_process_timestamp', 
count(case when prod.audt_process_timestamp is not null and exp.audt_process_timestamp is null then 1 end) as 'prod NOT null exp null audt_process_timestamp',
count(case when prod.software_version = exp.software_version or ( prod.software_version is null and exp.software_version is null) then 1 end) as 'match software_version', 
count(case when prod.software_version &lt;&gt; exp.software_version then 1 end) as 'NO match software_version', 
count(case when prod.software_version is null and exp.software_version is not null then 1 end) as 'prod null exp Not null software_version', 
count(case when prod.software_version is not null and exp.software_version is null then 1 end) as 'prod NOT null exp null software_version'
from 
(select *
from prod_retail_capital_enriched.banking_irb2_model_ecb_partitions
where date_processed = '2024-12-31' 
and audt_execution_version ='ACM2')prod
full outer join
(select *
from
prod_retail_capital_enriched.banking_irb2_model_ecb_partitions
where date_processed = '2024-12-31'
and audt_execution_version ='MCM7' )exp
on exp.cntr_contract_id= prod.cntr_contract_id
group by exp.date_processed,prod.audt_process_timestamp, exp.audt_process_timestamp;</t>
  </si>
  <si>
    <t>T06 - prod_multi_entity_capital_enriched.main_internal_ratings_partitions(BANKING_IRB) regression</t>
  </si>
  <si>
    <t>match irtng_contract_id</t>
  </si>
  <si>
    <t>no match irtng_contract_id</t>
  </si>
  <si>
    <t>prod null exp not null irtng_contract_id</t>
  </si>
  <si>
    <t>prod not null exp null irtng_contract_id</t>
  </si>
  <si>
    <t>match irtng_contract_id_sequence</t>
  </si>
  <si>
    <t>no match irtng_contract_id_sequence</t>
  </si>
  <si>
    <t>prod null exp not null irtng_contract_id_sequence</t>
  </si>
  <si>
    <t>prod not null exp null irtng_contract_id_sequence</t>
  </si>
  <si>
    <t>match irtng_customer_id</t>
  </si>
  <si>
    <t>no match irtng_customer_id</t>
  </si>
  <si>
    <t>prod null exp not null irtng_customer_id</t>
  </si>
  <si>
    <t>prod not null exp null irtng_customer_id</t>
  </si>
  <si>
    <t>match irtng_customer_source_system</t>
  </si>
  <si>
    <t>no match irtng_customer_source_system</t>
  </si>
  <si>
    <t>prod null exp not null irtng_customer_source_system</t>
  </si>
  <si>
    <t>prod not null exp null irtng_customer_source_system</t>
  </si>
  <si>
    <t>match irtng_approach</t>
  </si>
  <si>
    <t>no match irtng_approach</t>
  </si>
  <si>
    <t>prod null exp not null irtng_approach</t>
  </si>
  <si>
    <t>prod not null exp null irtng_approach</t>
  </si>
  <si>
    <t>match irtng_approach_desc</t>
  </si>
  <si>
    <t>no match irtng_approach_desc</t>
  </si>
  <si>
    <t>prod null exp not null irtng_approach_desc</t>
  </si>
  <si>
    <t>prod not null exp null irtng_approach_desc</t>
  </si>
  <si>
    <t>match irtng_internal_rating_id</t>
  </si>
  <si>
    <t>no match irtng_internal_rating_id</t>
  </si>
  <si>
    <t>prod null exp not null irtng_internal_rating_id</t>
  </si>
  <si>
    <t>prod not null exp null irtng_internal_rating_id</t>
  </si>
  <si>
    <t>match irtng_internal_rating_date</t>
  </si>
  <si>
    <t>no match irtng_internal_rating_date</t>
  </si>
  <si>
    <t>prod null exp not null irtng_internal_rating_date</t>
  </si>
  <si>
    <t>prod not null exp null irtng_internal_rating_date</t>
  </si>
  <si>
    <t>match irtng_internal_rating_description</t>
  </si>
  <si>
    <t>no match irtng_internal_rating_description</t>
  </si>
  <si>
    <t>prod null exp not null irtng_internal_rating_description</t>
  </si>
  <si>
    <t>prod not null exp null irtng_internal_rating_description</t>
  </si>
  <si>
    <t>match irtng_model_code_pd</t>
  </si>
  <si>
    <t>no match irtng_model_code_pd</t>
  </si>
  <si>
    <t>prod null exp not null irtng_model_code_pd</t>
  </si>
  <si>
    <t>prod not null exp null irtng_model_code_pd</t>
  </si>
  <si>
    <t>match irtng_model_description_pd</t>
  </si>
  <si>
    <t>no match irtng_model_description_pd</t>
  </si>
  <si>
    <t>prod null exp not null irtng_model_description_pd</t>
  </si>
  <si>
    <t>prod not null exp null irtng_model_description_pd</t>
  </si>
  <si>
    <t>match irtng_pd</t>
  </si>
  <si>
    <t>no match irtng_pd</t>
  </si>
  <si>
    <t>prod null exp not null irtng_pd</t>
  </si>
  <si>
    <t>prod not null exp null irtng_pd</t>
  </si>
  <si>
    <t>match irtng_model_code_lgd</t>
  </si>
  <si>
    <t>no match irtng_model_code_lgd</t>
  </si>
  <si>
    <t>prod null exp not null irtng_model_code_lgd</t>
  </si>
  <si>
    <t>prod not null exp null irtng_model_code_lgd</t>
  </si>
  <si>
    <t>match irtng_model_description_lgd</t>
  </si>
  <si>
    <t>no match irtng_model_description_lgd</t>
  </si>
  <si>
    <t>prod null exp not null irtng_model_description_lgd</t>
  </si>
  <si>
    <t>prod not null exp null irtng_model_description_lgd</t>
  </si>
  <si>
    <t>match irtng_lgd</t>
  </si>
  <si>
    <t>no match irtng_lgd</t>
  </si>
  <si>
    <t>prod null exp not null irtng_lgd</t>
  </si>
  <si>
    <t>prod not null exp null irtng_lgd</t>
  </si>
  <si>
    <t>match irtng_model_code_ccf</t>
  </si>
  <si>
    <t>no match irtng_model_code_ccf</t>
  </si>
  <si>
    <t>prod null exp not null irtng_model_code_ccf</t>
  </si>
  <si>
    <t>prod not null exp null irtng_model_code_ccf</t>
  </si>
  <si>
    <t>match irtng_model_description_ccf</t>
  </si>
  <si>
    <t>no match irtng_model_description_ccf</t>
  </si>
  <si>
    <t>prod null exp not null irtng_model_description_ccf</t>
  </si>
  <si>
    <t>prod not null exp null irtng_model_description_ccf</t>
  </si>
  <si>
    <t>match irtng_ccf</t>
  </si>
  <si>
    <t>no match irtng_ccf</t>
  </si>
  <si>
    <t>prod null exp not null irtng_ccf</t>
  </si>
  <si>
    <t>prod not null exp null irtng_ccf</t>
  </si>
  <si>
    <t>match irtng_ccf_on_bal</t>
  </si>
  <si>
    <t>no match irtng_ccf_on_bal</t>
  </si>
  <si>
    <t>prod null exp not null irtng_ccf_on_bal</t>
  </si>
  <si>
    <t>prod not null exp null irtng_ccf_on_bal</t>
  </si>
  <si>
    <t>match irtng_model_code_slotting</t>
  </si>
  <si>
    <t>no match irtng_model_code_slotting</t>
  </si>
  <si>
    <t>prod null exp not null irtng_model_code_slotting</t>
  </si>
  <si>
    <t>prod not null exp null irtng_model_code_slotting</t>
  </si>
  <si>
    <t>match irtng_model_description_slotting</t>
  </si>
  <si>
    <t>no match irtng_model_description_slotting</t>
  </si>
  <si>
    <t>prod null exp not null irtng_model_description_slotting</t>
  </si>
  <si>
    <t>prod not null exp null irtng_model_description_slotting</t>
  </si>
  <si>
    <t>match irtng_slotting_category</t>
  </si>
  <si>
    <t>no match irtng_slotting_category</t>
  </si>
  <si>
    <t>prod null exp not null irtng_slotting_category</t>
  </si>
  <si>
    <t>prod not null exp null irtng_slotting_category</t>
  </si>
  <si>
    <t>match irtng_lgd_bde</t>
  </si>
  <si>
    <t>no match irtng_lgd_bde</t>
  </si>
  <si>
    <t>prod null exp not null irtng_lgd_bde</t>
  </si>
  <si>
    <t>prod not null exp null irtng_lgd_bde</t>
  </si>
  <si>
    <t>match irtng_pd_grade_id</t>
  </si>
  <si>
    <t>no match irtng_pd_grade_id</t>
  </si>
  <si>
    <t>prod null exp not null irtng_pd_grade_id</t>
  </si>
  <si>
    <t>prod not null exp null irtng_pd_grade_id</t>
  </si>
  <si>
    <t>match irtng_pd_ec</t>
  </si>
  <si>
    <t>no match irtng_pd_ec</t>
  </si>
  <si>
    <t>prod null exp not null irtng_pd_ec</t>
  </si>
  <si>
    <t>prod not null exp null irtng_pd_ec</t>
  </si>
  <si>
    <t>match irtng_lgd_ec</t>
  </si>
  <si>
    <t>no match irtng_lgd_ec</t>
  </si>
  <si>
    <t>prod null exp not null irtng_lgd_ec</t>
  </si>
  <si>
    <t>prod not null exp null irtng_lgd_ec</t>
  </si>
  <si>
    <t>match irtng_on_bal_ccf_ec</t>
  </si>
  <si>
    <t>no match irtng_on_bal_ccf_ec</t>
  </si>
  <si>
    <t>prod null exp not null irtng_on_bal_ccf_ec</t>
  </si>
  <si>
    <t>prod not null exp null irtng_on_bal_ccf_ec</t>
  </si>
  <si>
    <t>match irtng_off_bal_ccf_ec</t>
  </si>
  <si>
    <t>no match irtng_off_bal_ccf_ec</t>
  </si>
  <si>
    <t>prod null exp not null irtng_off_bal_ccf_ec</t>
  </si>
  <si>
    <t>prod not null exp null irtng_off_bal_ccf_ec</t>
  </si>
  <si>
    <t>match irtng_pd_bde</t>
  </si>
  <si>
    <t>no match irtng_pd_bde</t>
  </si>
  <si>
    <t>prod null exp not null irtng_pd_bde</t>
  </si>
  <si>
    <t>prod not null exp null irtng_pd_bde</t>
  </si>
  <si>
    <t>match irtng_ccf_off_bal_bde</t>
  </si>
  <si>
    <t>no match irtng_ccf_off_bal_bde</t>
  </si>
  <si>
    <t>prod null exp not null irtng_ccf_off_bal_bde</t>
  </si>
  <si>
    <t>prod not null exp null irtng_ccf_off_bal_bde</t>
  </si>
  <si>
    <t>match irtng_ccf_on_bal_bde</t>
  </si>
  <si>
    <t>no match irtng_ccf_on_bal_bde</t>
  </si>
  <si>
    <t>prod null exp not null irtng_ccf_on_bal_bde</t>
  </si>
  <si>
    <t>prod not null exp null irtng_ccf_on_bal_bde</t>
  </si>
  <si>
    <t>match irtng_pd_bde_ec</t>
  </si>
  <si>
    <t>no match irtng_pd_bde_ec</t>
  </si>
  <si>
    <t>prod null exp not null irtng_pd_bde_ec</t>
  </si>
  <si>
    <t>prod not null exp null irtng_pd_bde_ec</t>
  </si>
  <si>
    <t>match irtng_lgd_bde_ec</t>
  </si>
  <si>
    <t>no match irtng_lgd_bde_ec</t>
  </si>
  <si>
    <t>prod null exp not null irtng_lgd_bde_ec</t>
  </si>
  <si>
    <t>prod not null exp null irtng_lgd_bde_ec</t>
  </si>
  <si>
    <t>match irtng_on_bal_ccf_bde_ec</t>
  </si>
  <si>
    <t>no match irtng_on_bal_ccf_bde_ec</t>
  </si>
  <si>
    <t>prod null exp not null irtng_on_bal_ccf_bde_ec</t>
  </si>
  <si>
    <t>prod not null exp null irtng_on_bal_ccf_bde_ec</t>
  </si>
  <si>
    <t>match irtng_off_bal_ccf_bde_ec</t>
  </si>
  <si>
    <t>no match irtng_off_bal_ccf_bde_ec</t>
  </si>
  <si>
    <t>prod null exp not null irtng_off_bal_ccf_bde_ec</t>
  </si>
  <si>
    <t>prod not null exp null irtng_off_bal_ccf_bde_ec</t>
  </si>
  <si>
    <t>match irtng_ead_reg_bde</t>
  </si>
  <si>
    <t>no match irtng_ead_reg_bde</t>
  </si>
  <si>
    <t>prod null exp not null irtng_ead_reg_bde</t>
  </si>
  <si>
    <t>prod not null exp null irtng_ead_reg_bde</t>
  </si>
  <si>
    <t>match irtng_ead_on_bal_reg_bde</t>
  </si>
  <si>
    <t>no match irtng_ead_on_bal_reg_bde</t>
  </si>
  <si>
    <t>prod null exp not null irtng_ead_on_bal_reg_bde</t>
  </si>
  <si>
    <t>prod not null exp null irtng_ead_on_bal_reg_bde</t>
  </si>
  <si>
    <t>match irtng_ead_off_bal_reg_bde</t>
  </si>
  <si>
    <t>no match irtng_ead_off_bal_reg_bde</t>
  </si>
  <si>
    <t>prod null exp not null irtng_ead_off_bal_reg_bde</t>
  </si>
  <si>
    <t>prod not null exp null irtng_ead_off_bal_reg_bde</t>
  </si>
  <si>
    <t>match irtng_elbe_bde</t>
  </si>
  <si>
    <t>no match irtng_elbe_bde</t>
  </si>
  <si>
    <t>prod null exp not null irtng_elbe_bde</t>
  </si>
  <si>
    <t>prod not null exp null irtng_elbe_bde</t>
  </si>
  <si>
    <t>match irtng_elbe_bde_ec</t>
  </si>
  <si>
    <t>no match irtng_elbe_bde_ec</t>
  </si>
  <si>
    <t>prod null exp not null irtng_elbe_bde_ec</t>
  </si>
  <si>
    <t>prod not null exp null irtng_elbe_bde_ec</t>
  </si>
  <si>
    <t>match irtng_nominal_balance_bde_ec</t>
  </si>
  <si>
    <t>no match irtng_nominal_balance_bde_ec</t>
  </si>
  <si>
    <t>prod null exp not null irtng_nominal_balance_bde_ec</t>
  </si>
  <si>
    <t>prod not null exp null irtng_nominal_balance_bde_ec</t>
  </si>
  <si>
    <t>2025-01-07 17:24:16.793</t>
  </si>
  <si>
    <t>2025-06-20 11:18:48.498</t>
  </si>
  <si>
    <t>2025-07-29 11:02:58.141</t>
  </si>
  <si>
    <t>109599</t>
  </si>
  <si>
    <t>10458588</t>
  </si>
  <si>
    <t>75459</t>
  </si>
  <si>
    <t>10492728</t>
  </si>
  <si>
    <t>5229923</t>
  </si>
  <si>
    <t>5338264</t>
  </si>
  <si>
    <t>38969</t>
  </si>
  <si>
    <t>10529218</t>
  </si>
  <si>
    <t>10458582</t>
  </si>
  <si>
    <t>109605</t>
  </si>
  <si>
    <t>select count(*),exp.date_processed,prod.audt_process_timestamp, exp.audt_process_timestamp,
count(case when prod.irtng_contract_id = exp.irtng_contract_id or ( prod.irtng_contract_id is null and exp.irtng_contract_id is null) then 1 end) as 'match irtng_contract_id', 
count(case when prod.irtng_contract_id &lt;&gt; exp.irtng_contract_id then 1 end) as 'NO match irtng_contract_id', 
count(case when prod.irtng_contract_id is null and exp.irtng_contract_id is not null then 1 end) as 'prod null exp Not null irtng_contract_id', 
count(case when prod.irtng_contract_id is not null and exp.irtng_contract_id is null then 1 end) as 'prod NOT null exp null irtng_contract_id',
count(case when prod.irtng_contract_id_sequence = exp.irtng_contract_id_sequence or ( prod.irtng_contract_id_sequence is null and exp.irtng_contract_id_sequence is null) then 1 end) as 'match irtng_contract_id_sequence', 
count(case when prod.irtng_contract_id_sequence &lt;&gt; exp.irtng_contract_id_sequence then 1 end) as 'NO match irtng_contract_id_sequence', 
count(case when prod.irtng_contract_id_sequence is null and exp.irtng_contract_id_sequence is not null then 1 end) as 'prod null exp Not null irtng_contract_id_sequence', 
count(case when prod.irtng_contract_id_sequence is not null and exp.irtng_contract_id_sequence is null then 1 end) as 'prod NOT null exp null irtng_contract_id_sequence',
count(case when prod.irtng_customer_id = exp.irtng_customer_id or ( prod.irtng_customer_id is null and exp.irtng_customer_id is null) then 1 end) as 'match irtng_customer_id', 
count(case when prod.irtng_customer_id &lt;&gt; exp.irtng_customer_id then 1 end) as 'NO match irtng_customer_id', 
count(case when prod.irtng_customer_id is null and exp.irtng_customer_id is not null then 1 end) as 'prod null exp Not null irtng_customer_id', 
count(case when prod.irtng_customer_id is not null and exp.irtng_customer_id is null then 1 end) as 'prod NOT null exp null irtng_customer_id',
count(case when prod.irtng_customer_source_system = exp.irtng_customer_source_system or ( prod.irtng_customer_source_system is null and exp.irtng_customer_source_system is null) then 1 end) as 'match irtng_customer_source_system', 
count(case when prod.irtng_customer_source_system &lt;&gt; exp.irtng_customer_source_system then 1 end) as 'NO match irtng_customer_source_system', 
count(case when prod.irtng_customer_source_system is null and exp.irtng_customer_source_system is not null then 1 end) as 'prod null exp Not null irtng_customer_source_system', 
count(case when prod.irtng_customer_source_system is not null and exp.irtng_customer_source_system is null then 1 end) as 'prod NOT null exp null irtng_customer_source_system',
count(case when prod.irtng_approach = exp.irtng_approach or ( prod.irtng_approach is null and exp.irtng_approach is null) then 1 end) as 'match irtng_approach', 
count(case when prod.irtng_approach &lt;&gt; exp.irtng_approach then 1 end) as 'NO match irtng_approach', 
count(case when prod.irtng_approach is null and exp.irtng_approach is not null then 1 end) as 'prod null exp Not null irtng_approach', 
count(case when prod.irtng_approach is not null and exp.irtng_approach is null then 1 end) as 'prod NOT null exp null irtng_approach',
count(case when prod.irtng_approach_desc = exp.irtng_approach_desc or ( prod.irtng_approach_desc is null and exp.irtng_approach_desc is null) then 1 end) as 'match irtng_approach_desc', 
count(case when prod.irtng_approach_desc &lt;&gt; exp.irtng_approach_desc then 1 end) as 'NO match irtng_approach_desc', 
count(case when prod.irtng_approach_desc is null and exp.irtng_approach_desc is not null then 1 end) as 'prod null exp Not null irtng_approach_desc', 
count(case when prod.irtng_approach_desc is not null and exp.irtng_approach_desc is null then 1 end) as 'prod NOT null exp null irtng_approach_desc',
count(case when prod.irtng_internal_rating_id = exp.irtng_internal_rating_id or ( prod.irtng_internal_rating_id is null and exp.irtng_internal_rating_id is null) then 1 end) as 'match irtng_internal_rating_id', 
count(case when prod.irtng_internal_rating_id &lt;&gt; exp.irtng_internal_rating_id then 1 end) as 'NO match irtng_internal_rating_id', 
count(case when prod.irtng_internal_rating_id is null and exp.irtng_internal_rating_id is not null then 1 end) as 'prod null exp Not null irtng_internal_rating_id', 
count(case when prod.irtng_internal_rating_id is not null and exp.irtng_internal_rating_id is null then 1 end) as 'prod NOT null exp null irtng_internal_rating_id',
count(case when prod.irtng_internal_rating_date = exp.irtng_internal_rating_date or ( prod.irtng_internal_rating_date is null and exp.irtng_internal_rating_date is null) then 1 end) as 'match irtng_internal_rating_date', 
count(case when prod.irtng_internal_rating_date &lt;&gt; exp.irtng_internal_rating_date then 1 end) as 'NO match irtng_internal_rating_date', 
count(case when prod.irtng_internal_rating_date is null and exp.irtng_internal_rating_date is not null then 1 end) as 'prod null exp Not null irtng_internal_rating_date', 
count(case when prod.irtng_internal_rating_date is not null and exp.irtng_internal_rating_date is null then 1 end) as 'prod NOT null exp null irtng_internal_rating_date',
count(case when prod.irtng_internal_rating_description = exp.irtng_internal_rating_description or ( prod.irtng_internal_rating_description is null and exp.irtng_internal_rating_description is null) then 1 end) as 'match irtng_internal_rating_description', 
count(case when prod.irtng_internal_rating_description &lt;&gt; exp.irtng_internal_rating_description then 1 end) as 'NO match irtng_internal_rating_description', 
count(case when prod.irtng_internal_rating_description is null and exp.irtng_internal_rating_description is not null then 1 end) as 'prod null exp Not null irtng_internal_rating_description', 
count(case when prod.irtng_internal_rating_description is not null and exp.irtng_internal_rating_description is null then 1 end) as 'prod NOT null exp null irtng_internal_rating_description',
count(case when prod.irtng_model_code_pd = exp.irtng_model_code_pd or ( prod.irtng_model_code_pd is null and exp.irtng_model_code_pd is null) then 1 end) as 'match irtng_model_code_pd', 
count(case when prod.irtng_model_code_pd &lt;&gt; exp.irtng_model_code_pd then 1 end) as 'NO match irtng_model_code_pd', 
count(case when prod.irtng_model_code_pd is null and exp.irtng_model_code_pd is not null then 1 end) as 'prod null exp Not null irtng_model_code_pd', 
count(case when prod.irtng_model_code_pd is not null and exp.irtng_model_code_pd is null then 1 end) as 'prod NOT null exp null irtng_model_code_pd',
count(case when prod.irtng_model_description_pd = exp.irtng_model_description_pd or ( prod.irtng_model_description_pd is null and exp.irtng_model_description_pd is null) then 1 end) as 'match irtng_model_description_pd', 
count(case when prod.irtng_model_description_pd &lt;&gt; exp.irtng_model_description_pd then 1 end) as 'NO match irtng_model_description_pd', 
count(case when prod.irtng_model_description_pd is null and exp.irtng_model_description_pd is not null then 1 end) as 'prod null exp Not null irtng_model_description_pd', 
count(case when prod.irtng_model_description_pd is not null and exp.irtng_model_description_pd is null then 1 end) as 'prod NOT null exp null irtng_model_description_pd',
count(case when prod.irtng_pd = exp.irtng_pd or ( prod.irtng_pd is null and exp.irtng_pd is null) then 1 end) as 'match irtng_pd', 
count(case when prod.irtng_pd &lt;&gt; exp.irtng_pd then 1 end) as 'NO match irtng_pd', 
count(case when prod.irtng_pd is null and exp.irtng_pd is not null then 1 end) as 'prod null exp Not null irtng_pd', 
count(case when prod.irtng_pd is not null and exp.irtng_pd is null then 1 end) as 'prod NOT null exp null irtng_pd',
count(case when prod.irtng_model_code_lgd = exp.irtng_model_code_lgd or ( prod.irtng_model_code_lgd is null and exp.irtng_model_code_lgd is null) then 1 end) as 'match irtng_model_code_lgd', 
count(case when prod.irtng_model_code_lgd &lt;&gt; exp.irtng_model_code_lgd then 1 end) as 'NO match irtng_model_code_lgd', 
count(case when prod.irtng_model_code_lgd is null and exp.irtng_model_code_lgd is not null then 1 end) as 'prod null exp Not null irtng_model_code_lgd', 
count(case when prod.irtng_model_code_lgd is not null and exp.irtng_model_code_lgd is null then 1 end) as 'prod NOT null exp null irtng_model_code_lgd',
count(case when prod.irtng_model_description_lgd = exp.irtng_model_description_lgd or ( prod.irtng_model_description_lgd is null and exp.irtng_model_description_lgd is null) then 1 end) as 'match irtng_model_description_lgd', 
count(case when prod.irtng_model_description_lgd &lt;&gt; exp.irtng_model_description_lgd then 1 end) as 'NO match irtng_model_description_lgd', 
count(case when prod.irtng_model_description_lgd is null and exp.irtng_model_description_lgd is not null then 1 end) as 'prod null exp Not null irtng_model_description_lgd', 
count(case when prod.irtng_model_description_lgd is not null and exp.irtng_model_description_lgd is null then 1 end) as 'prod NOT null exp null irtng_model_description_lgd',
count(case when prod.irtng_lgd = exp.irtng_lgd or ( prod.irtng_lgd is null and exp.irtng_lgd is null) then 1 end) as 'match irtng_lgd', 
count(case when prod.irtng_lgd &lt;&gt; exp.irtng_lgd then 1 end) as 'NO match irtng_lgd', 
count(case when prod.irtng_lgd is null and exp.irtng_lgd is not null then 1 end) as 'prod null exp Not null irtng_lgd', 
count(case when prod.irtng_lgd is not null and exp.irtng_lgd is null then 1 end) as 'prod NOT null exp null irtng_lgd',
count(case when prod.irtng_model_code_ccf = exp.irtng_model_code_ccf or ( prod.irtng_model_code_ccf is null and exp.irtng_model_code_ccf is null) then 1 end) as 'match irtng_model_code_ccf', 
count(case when prod.irtng_model_code_ccf &lt;&gt; exp.irtng_model_code_ccf then 1 end) as 'NO match irtng_model_code_ccf', 
count(case when prod.irtng_model_code_ccf is null and exp.irtng_model_code_ccf is not null then 1 end) as 'prod null exp Not null irtng_model_code_ccf', 
count(case when prod.irtng_model_code_ccf is not null and exp.irtng_model_code_ccf is null then 1 end) as 'prod NOT null exp null irtng_model_code_ccf',
count(case when prod.irtng_model_description_ccf = exp.irtng_model_description_ccf or ( prod.irtng_model_description_ccf is null and exp.irtng_model_description_ccf is null) then 1 end) as 'match irtng_model_description_ccf', 
count(case when prod.irtng_model_description_ccf &lt;&gt; exp.irtng_model_description_ccf then 1 end) as 'NO match irtng_model_description_ccf', 
count(case when prod.irtng_model_description_ccf is null and exp.irtng_model_description_ccf is not null then 1 end) as 'prod null exp Not null irtng_model_description_ccf', 
count(case when prod.irtng_model_description_ccf is not null and exp.irtng_model_description_ccf is null then 1 end) as 'prod NOT null exp null irtng_model_description_ccf',
count(case when prod.irtng_ccf = exp.irtng_ccf or ( prod.irtng_ccf is null and exp.irtng_ccf is null) then 1 end) as 'match irtng_ccf', 
count(case when prod.irtng_ccf &lt;&gt; exp.irtng_ccf then 1 end) as 'NO match irtng_ccf', 
count(case when prod.irtng_ccf is null and exp.irtng_ccf is not null then 1 end) as 'prod null exp Not null irtng_ccf', 
count(case when prod.irtng_ccf is not null and exp.irtng_ccf is null then 1 end) as 'prod NOT null exp null irtng_ccf',
count(case when prod.irtng_ccf_on_bal = exp.irtng_ccf_on_bal or ( prod.irtng_ccf_on_bal is null and exp.irtng_ccf_on_bal is null) then 1 end) as 'match irtng_ccf_on_bal', 
count(case when prod.irtng_ccf_on_bal &lt;&gt; exp.irtng_ccf_on_bal then 1 end) as 'NO match irtng_ccf_on_bal', 
count(case when prod.irtng_ccf_on_bal is null and exp.irtng_ccf_on_bal is not null then 1 end) as 'prod null exp Not null irtng_ccf_on_bal', 
count(case when prod.irtng_ccf_on_bal is not null and exp.irtng_ccf_on_bal is null then 1 end) as 'prod NOT null exp null irtng_ccf_on_bal',
count(case when prod.irtng_model_code_slotting = exp.irtng_model_code_slotting or ( prod.irtng_model_code_slotting is null and exp.irtng_model_code_slotting is null) then 1 end) as 'match irtng_model_code_slotting', 
count(case when prod.irtng_model_code_slotting &lt;&gt; exp.irtng_model_code_slotting then 1 end) as 'NO match irtng_model_code_slotting', 
count(case when prod.irtng_model_code_slotting is null and exp.irtng_model_code_slotting is not null then 1 end) as 'prod null exp Not null irtng_model_code_slotting', 
count(case when prod.irtng_model_code_slotting is not null and exp.irtng_model_code_slotting is null then 1 end) as 'prod NOT null exp null irtng_model_code_slotting',
count(case when prod.irtng_model_description_slotting = exp.irtng_model_description_slotting or ( prod.irtng_model_description_slotting is null and exp.irtng_model_description_slotting is null) then 1 end) as 'match irtng_model_description_slotting', 
count(case when prod.irtng_model_description_slotting &lt;&gt; exp.irtng_model_description_slotting then 1 end) as 'NO match irtng_model_description_slotting', 
count(case when prod.irtng_model_description_slotting is null and exp.irtng_model_description_slotting is not null then 1 end) as 'prod null exp Not null irtng_model_description_slotting', 
count(case when prod.irtng_model_description_slotting is not null and exp.irtng_model_description_slotting is null then 1 end) as 'prod NOT null exp null irtng_model_description_slotting',
count(case when prod.irtng_slotting_category = exp.irtng_slotting_category or ( prod.irtng_slotting_category is null and exp.irtng_slotting_category is null) then 1 end) as 'match irtng_slotting_category', 
count(case when prod.irtng_slotting_category &lt;&gt; exp.irtng_slotting_category then 1 end) as 'NO match irtng_slotting_category', 
count(case when prod.irtng_slotting_category is null and exp.irtng_slotting_category is not null then 1 end) as 'prod null exp Not null irtng_slotting_category', 
count(case when prod.irtng_slotting_category is not null and exp.irtng_slotting_category is null then 1 end) as 'prod NOT null exp null irtng_slotting_category',
count(case when prod.audt_process_timestamp = exp.audt_process_timestamp or ( prod.audt_process_timestamp is null and exp.audt_process_timestamp is null) then 1 end) as 'match audt_process_timestamp', 
count(case when prod.audt_process_timestamp &lt;&gt; exp.audt_process_timestamp then 1 end) as 'NO match audt_process_timestamp', 
count(case when prod.audt_process_timestamp is null and exp.audt_process_timestamp is not null then 1 end) as 'prod null exp Not null audt_process_timestamp', 
count(case when prod.audt_process_timestamp is not null and exp.audt_process_timestamp is null then 1 end) as 'prod NOT null exp null audt_process_timestamp',
count(case when prod.irtng_lgd_bde = exp.irtng_lgd_bde or ( prod.irtng_lgd_bde is null and exp.irtng_lgd_bde is null) then 1 end) as 'match irtng_lgd_bde', 
count(case when prod.irtng_lgd_bde &lt;&gt; exp.irtng_lgd_bde then 1 end) as 'NO match irtng_lgd_bde', 
count(case when prod.irtng_lgd_bde is null and exp.irtng_lgd_bde is not null then 1 end) as 'prod null exp Not null irtng_lgd_bde', 
count(case when prod.irtng_lgd_bde is not null and exp.irtng_lgd_bde is null then 1 end) as 'prod NOT null exp null irtng_lgd_bde',
count(case when prod.irtng_pd_grade_id = exp.irtng_pd_grade_id or ( prod.irtng_pd_grade_id is null and exp.irtng_pd_grade_id is null) then 1 end) as 'match irtng_pd_grade_id', 
count(case when prod.irtng_pd_grade_id &lt;&gt; exp.irtng_pd_grade_id then 1 end) as 'NO match irtng_pd_grade_id', 
count(case when prod.irtng_pd_grade_id is null and exp.irtng_pd_grade_id is not null then 1 end) as 'prod null exp Not null irtng_pd_grade_id', 
count(case when prod.irtng_pd_grade_id is not null and exp.irtng_pd_grade_id is null then 1 end) as 'prod NOT null exp null irtng_pd_grade_id',
count(case when prod.irtng_pd_ec = exp.irtng_pd_ec or ( prod.irtng_pd_ec is null and exp.irtng_pd_ec is null) then 1 end) as 'match irtng_pd_ec', 
count(case when prod.irtng_pd_ec &lt;&gt; exp.irtng_pd_ec then 1 end) as 'NO match irtng_pd_ec', 
count(case when prod.irtng_pd_ec is null and exp.irtng_pd_ec is not null then 1 end) as 'prod null exp Not null irtng_pd_ec', 
count(case when prod.irtng_pd_ec is not null and exp.irtng_pd_ec is null then 1 end) as 'prod NOT null exp null irtng_pd_ec',
count(case when prod.irtng_lgd_ec = exp.irtng_lgd_ec or ( prod.irtng_lgd_ec is null and exp.irtng_lgd_ec is null) then 1 end) as 'match irtng_lgd_ec', 
count(case when prod.irtng_lgd_ec &lt;&gt; exp.irtng_lgd_ec then 1 end) as 'NO match irtng_lgd_ec', 
count(case when prod.irtng_lgd_ec is null and exp.irtng_lgd_ec is not null then 1 end) as 'prod null exp Not null irtng_lgd_ec', 
count(case when prod.irtng_lgd_ec is not null and exp.irtng_lgd_ec is null then 1 end) as 'prod NOT null exp null irtng_lgd_ec',
count(case when prod.irtng_on_bal_ccf_ec = exp.irtng_on_bal_ccf_ec or ( prod.irtng_on_bal_ccf_ec is null and exp.irtng_on_bal_ccf_ec is null) then 1 end) as 'match irtng_on_bal_ccf_ec', 
count(case when prod.irtng_on_bal_ccf_ec &lt;&gt; exp.irtng_on_bal_ccf_ec then 1 end) as 'NO match irtng_on_bal_ccf_ec', 
count(case when prod.irtng_on_bal_ccf_ec is null and exp.irtng_on_bal_ccf_ec is not null then 1 end) as 'prod null exp Not null irtng_on_bal_ccf_ec', 
count(case when prod.irtng_on_bal_ccf_ec is not null and exp.irtng_on_bal_ccf_ec is null then 1 end) as 'prod NOT null exp null irtng_on_bal_ccf_ec',
count(case when prod.irtng_off_bal_ccf_ec = exp.irtng_off_bal_ccf_ec or ( prod.irtng_off_bal_ccf_ec is null and exp.irtng_off_bal_ccf_ec is null) then 1 end) as 'match irtng_off_bal_ccf_ec', 
count(case when prod.irtng_off_bal_ccf_ec &lt;&gt; exp.irtng_off_bal_ccf_ec then 1 end) as 'NO match irtng_off_bal_ccf_ec', 
count(case when prod.irtng_off_bal_ccf_ec is null and exp.irtng_off_bal_ccf_ec is not null then 1 end) as 'prod null exp Not null irtng_off_bal_ccf_ec', 
count(case when prod.irtng_off_bal_ccf_ec is not null and exp.irtng_off_bal_ccf_ec is null then 1 end) as 'prod NOT null exp null irtng_off_bal_ccf_ec',
count(case when prod.irtng_pd_bde = exp.irtng_pd_bde or ( prod.irtng_pd_bde is null and exp.irtng_pd_bde is null) then 1 end) as 'match irtng_pd_bde', 
count(case when prod.irtng_pd_bde &lt;&gt; exp.irtng_pd_bde then 1 end) as 'NO match irtng_pd_bde', 
count(case when prod.irtng_pd_bde is null and exp.irtng_pd_bde is not null then 1 end) as 'prod null exp Not null irtng_pd_bde', 
count(case when prod.irtng_pd_bde is not null and exp.irtng_pd_bde is null then 1 end) as 'prod NOT null exp null irtng_pd_bde',
count(case when prod.irtng_ccf_off_bal_bde = exp.irtng_ccf_off_bal_bde or ( prod.irtng_ccf_off_bal_bde is null and exp.irtng_ccf_off_bal_bde is null) then 1 end) as 'match irtng_ccf_off_bal_bde', 
count(case when prod.irtng_ccf_off_bal_bde &lt;&gt; exp.irtng_ccf_off_bal_bde then 1 end) as 'NO match irtng_ccf_off_bal_bde', 
count(case when prod.irtng_ccf_off_bal_bde is null and exp.irtng_ccf_off_bal_bde is not null then 1 end) as 'prod null exp Not null irtng_ccf_off_bal_bde', 
count(case when prod.irtng_ccf_off_bal_bde is not null and exp.irtng_ccf_off_bal_bde is null then 1 end) as 'prod NOT null exp null irtng_ccf_off_bal_bde',
count(case when prod.irtng_ccf_on_bal_bde = exp.irtng_ccf_on_bal_bde or ( prod.irtng_ccf_on_bal_bde is null and exp.irtng_ccf_on_bal_bde is null) then 1 end) as 'match irtng_ccf_on_bal_bde', 
count(case when prod.irtng_ccf_on_bal_bde &lt;&gt; exp.irtng_ccf_on_bal_bde then 1 end) as 'NO match irtng_ccf_on_bal_bde', 
count(case when prod.irtng_ccf_on_bal_bde is null and exp.irtng_ccf_on_bal_bde is not null then 1 end) as 'prod null exp Not null irtng_ccf_on_bal_bde', 
count(case when prod.irtng_ccf_on_bal_bde is not null and exp.irtng_ccf_on_bal_bde is null then 1 end) as 'prod NOT null exp null irtng_ccf_on_bal_bde',
count(case when prod.irtng_pd_bde_ec = exp.irtng_pd_bde_ec or ( prod.irtng_pd_bde_ec is null and exp.irtng_pd_bde_ec is null) then 1 end) as 'match irtng_pd_bde_ec', 
count(case when prod.irtng_pd_bde_ec &lt;&gt; exp.irtng_pd_bde_ec then 1 end) as 'NO match irtng_pd_bde_ec', 
count(case when prod.irtng_pd_bde_ec is null and exp.irtng_pd_bde_ec is not null then 1 end) as 'prod null exp Not null irtng_pd_bde_ec', 
count(case when prod.irtng_pd_bde_ec is not null and exp.irtng_pd_bde_ec is null then 1 end) as 'prod NOT null exp null irtng_pd_bde_ec',
count(case when prod.irtng_lgd_bde_ec = exp.irtng_lgd_bde_ec or ( prod.irtng_lgd_bde_ec is null and exp.irtng_lgd_bde_ec is null) then 1 end) as 'match irtng_lgd_bde_ec', 
count(case when prod.irtng_lgd_bde_ec &lt;&gt; exp.irtng_lgd_bde_ec then 1 end) as 'NO match irtng_lgd_bde_ec', 
count(case when prod.irtng_lgd_bde_ec is null and exp.irtng_lgd_bde_ec is not null then 1 end) as 'prod null exp Not null irtng_lgd_bde_ec', 
count(case when prod.irtng_lgd_bde_ec is not null and exp.irtng_lgd_bde_ec is null then 1 end) as 'prod NOT null exp null irtng_lgd_bde_ec',
count(case when prod.irtng_on_bal_ccf_bde_ec = exp.irtng_on_bal_ccf_bde_ec or ( prod.irtng_on_bal_ccf_bde_ec is null and exp.irtng_on_bal_ccf_bde_ec is null) then 1 end) as 'match irtng_on_bal_ccf_bde_ec', 
count(case when prod.irtng_on_bal_ccf_bde_ec &lt;&gt; exp.irtng_on_bal_ccf_bde_ec then 1 end) as 'NO match irtng_on_bal_ccf_bde_ec', 
count(case when prod.irtng_on_bal_ccf_bde_ec is null and exp.irtng_on_bal_ccf_bde_ec is not null then 1 end) as 'prod null exp Not null irtng_on_bal_ccf_bde_ec', 
count(case when prod.irtng_on_bal_ccf_bde_ec is not null and exp.irtng_on_bal_ccf_bde_ec is null then 1 end) as 'prod NOT null exp null irtng_on_bal_ccf_bde_ec',
count(case when prod.irtng_off_bal_ccf_bde_ec = exp.irtng_off_bal_ccf_bde_ec or ( prod.irtng_off_bal_ccf_bde_ec is null and exp.irtng_off_bal_ccf_bde_ec is null) then 1 end) as 'match irtng_off_bal_ccf_bde_ec', 
count(case when prod.irtng_off_bal_ccf_bde_ec &lt;&gt; exp.irtng_off_bal_ccf_bde_ec then 1 end) as 'NO match irtng_off_bal_ccf_bde_ec', 
count(case when prod.irtng_off_bal_ccf_bde_ec is null and exp.irtng_off_bal_ccf_bde_ec is not null then 1 end) as 'prod null exp Not null irtng_off_bal_ccf_bde_ec', 
count(case when prod.irtng_off_bal_ccf_bde_ec is not null and exp.irtng_off_bal_ccf_bde_ec is null then 1 end) as 'prod NOT null exp null irtng_off_bal_ccf_bde_ec',
count(case when prod.irtng_ead_reg_bde = exp.irtng_ead_reg_bde or ( prod.irtng_ead_reg_bde is null and exp.irtng_ead_reg_bde is null) then 1 end) as 'match irtng_ead_reg_bde', 
count(case when prod.irtng_ead_reg_bde &lt;&gt; exp.irtng_ead_reg_bde then 1 end) as 'NO match irtng_ead_reg_bde', 
count(case when prod.irtng_ead_reg_bde is null and exp.irtng_ead_reg_bde is not null then 1 end) as 'prod null exp Not null irtng_ead_reg_bde', 
count(case when prod.irtng_ead_reg_bde is not null and exp.irtng_ead_reg_bde is null then 1 end) as 'prod NOT null exp null irtng_ead_reg_bde',
count(case when prod.irtng_ead_on_bal_reg_bde = exp.irtng_ead_on_bal_reg_bde or ( prod.irtng_ead_on_bal_reg_bde is null and exp.irtng_ead_on_bal_reg_bde is null) then 1 end) as 'match irtng_ead_on_bal_reg_bde', 
count(case when prod.irtng_ead_on_bal_reg_bde &lt;&gt; exp.irtng_ead_on_bal_reg_bde then 1 end) as 'NO match irtng_ead_on_bal_reg_bde', 
count(case when prod.irtng_ead_on_bal_reg_bde is null and exp.irtng_ead_on_bal_reg_bde is not null then 1 end) as 'prod null exp Not null irtng_ead_on_bal_reg_bde', 
count(case when prod.irtng_ead_on_bal_reg_bde is not null and exp.irtng_ead_on_bal_reg_bde is null then 1 end) as 'prod NOT null exp null irtng_ead_on_bal_reg_bde',
count(case when prod.irtng_ead_off_bal_reg_bde = exp.irtng_ead_off_bal_reg_bde or ( prod.irtng_ead_off_bal_reg_bde is null and exp.irtng_ead_off_bal_reg_bde is null) then 1 end) as 'match irtng_ead_off_bal_reg_bde', 
count(case when prod.irtng_ead_off_bal_reg_bde &lt;&gt; exp.irtng_ead_off_bal_reg_bde then 1 end) as 'NO match irtng_ead_off_bal_reg_bde', 
count(case when prod.irtng_ead_off_bal_reg_bde is null and exp.irtng_ead_off_bal_reg_bde is not null then 1 end) as 'prod null exp Not null irtng_ead_off_bal_reg_bde', 
count(case when prod.irtng_ead_off_bal_reg_bde is not null and exp.irtng_ead_off_bal_reg_bde is null then 1 end) as 'prod NOT null exp null irtng_ead_off_bal_reg_bde',
count(case when prod.irtng_elbe_bde = exp.irtng_elbe_bde or ( prod.irtng_elbe_bde is null and exp.irtng_elbe_bde is null) then 1 end) as 'match irtng_elbe_bde', 
count(case when prod.irtng_elbe_bde &lt;&gt; exp.irtng_elbe_bde then 1 end) as 'NO match irtng_elbe_bde', 
count(case when prod.irtng_elbe_bde is null and exp.irtng_elbe_bde is not null then 1 end) as 'prod null exp Not null irtng_elbe_bde', 
count(case when prod.irtng_elbe_bde is not null and exp.irtng_elbe_bde is null then 1 end) as 'prod NOT null exp null irtng_elbe_bde',
count(case when prod.irtng_elbe_bde_ec = exp.irtng_elbe_bde_ec or ( prod.irtng_elbe_bde_ec is null and exp.irtng_elbe_bde_ec is null) then 1 end) as 'match irtng_elbe_bde_ec', 
count(case when prod.irtng_elbe_bde_ec &lt;&gt; exp.irtng_elbe_bde_ec then 1 end) as 'NO match irtng_elbe_bde_ec', 
count(case when prod.irtng_elbe_bde_ec is null and exp.irtng_elbe_bde_ec is not null then 1 end) as 'prod null exp Not null irtng_elbe_bde_ec', 
count(case when prod.irtng_elbe_bde_ec is not null and exp.irtng_elbe_bde_ec is null then 1 end) as 'prod NOT null exp null irtng_elbe_bde_ec',
count(case when prod.irtng_nominal_balance_bde_ec = exp.irtng_nominal_balance_bde_ec or ( prod.irtng_nominal_balance_bde_ec is null and exp.irtng_nominal_balance_bde_ec is null) then 1 end) as 'match irtng_nominal_balance_bde_ec', 
count(case when prod.irtng_nominal_balance_bde_ec &lt;&gt; exp.irtng_nominal_balance_bde_ec then 1 end) as 'NO match irtng_nominal_balance_bde_ec', 
count(case when prod.irtng_nominal_balance_bde_ec is null and exp.irtng_nominal_balance_bde_ec is not null then 1 end) as 'prod null exp Not null irtng_nominal_balance_bde_ec', 
count(case when prod.irtng_nominal_balance_bde_ec is not null and exp.irtng_nominal_balance_bde_ec is null then 1 end) as 'prod NOT null exp null irtng_nominal_balance_bde_ec'
from 
(select *
from prod_multi_entity_capital_enriched.main_internal_ratings_partitions
where date_processed = '2024-12-31' 
and audt_execution_version ='ACM2' and load_process = 'BANKING_IRB')prod
inner join
(select *
from
 prod_multi_entity_capital_enriched.main_internal_ratings_partitions
where date_processed = '2024-12-31'
and audt_execution_version ='MCM7' and load_process = 'BANKING_IRB')exp
on exp.irtng_contract_id= prod.irtng_contract_id
group by exp.date_processed,prod.audt_process_timestamp, exp.audt_process_timestamp</t>
  </si>
  <si>
    <t>Query:</t>
  </si>
  <si>
    <t>select exp.date_processed,prod.audt_execution_version,prod.audt_process_timestamp, exp.audt_process_timestamp, count(*),</t>
  </si>
  <si>
    <t>count(case when pd_reg = irtng_pd_bde or ( pd_reg is null and irtng_pd_bde is null) then 1 end) as 'match irtng_pd_bde and pd_reg',count(case when pd_reg &lt;&gt; irtng_pd_bde then 1 end) as 'NO match irtng_pd_bde and pd_reg',count(case when pd_reg is null and irtng_pd_bde is not null then 1 end) as 'irtng_pd_bde null pd_reg Not null ',count(case when pd_reg is not null and irtng_pd_bde is null then 1 end) as 'irtng_pd_bde NOT null pd_reg null ',</t>
  </si>
  <si>
    <t>count(case when pd_ec = irtng_pd_bde_ec or ( pd_ec is null and irtng_pd_bde_ec is null) then 1 end) as 'match irtng_pd_bde_ec and pd_ec',count(case when pd_ec &lt;&gt; irtng_pd_bde_ec then 1 end) as 'NO match irtng_pd_bde_ec and pd_ec',count(case when pd_ec is null and irtng_pd_bde_ec is not null then 1 end) as 'irtng_pd_bde_ec null pd_ec Not null ',count(case when pd_ec is not null and irtng_pd_bde_ec is null then 1 end) as 'irtng_pd_bde_ec NOT null pd_ec null ',</t>
  </si>
  <si>
    <t>count(case when lgd_ec = irtng_lgd_bde_ec or ( lgd_ec is null and irtng_lgd_bde_ec is null) then 1 end) as 'match irtng_lgd_bde_ec and lgd_ec',count(case when lgd_ec &lt;&gt; irtng_lgd_bde_ec then 1 end) as 'NO match irtng_lgd_bde_ec and lgd_ec',count(case when lgd_ec is null and irtng_lgd_bde_ec is not null then 1 end) as 'irtng_lgd_bde_ec null lgd_ec Not null ',count(case when lgd_ec is not null and irtng_lgd_bde_ec is null then 1 end) as 'irtng_lgd_bde_ec NOT null lgd_ec null ',</t>
  </si>
  <si>
    <t>count(case when lgd_elbe_reg = irtng_elbe_bde or ( lgd_elbe_reg is null and irtng_elbe_bde is null) then 1 end) as 'match irtng_elbe_bde and lgd_elbe_reg',count(case when lgd_elbe_reg &lt;&gt; irtng_elbe_bde then 1 end) as 'NO match irtng_elbe_bde and lgd_elbe_reg',count(case when lgd_elbe_reg is null and irtng_elbe_bde is not null then 1 end) as 'irtng_elbe_bde null lgd_elbe_reg Not null ',count(case when lgd_elbe_reg is not null and irtng_elbe_bde is null then 1 end) as 'irtng_elbe_bde NOT null lgd_elbe_reg null ',</t>
  </si>
  <si>
    <t>count(case when lgd_elbe_ec = irtng_elbe_bde_ec or ( lgd_elbe_ec is null and irtng_elbe_bde_ec is null) then 1 end) as 'match irtng_elbe_bde_ec and lgd_elbe_ec',count(case when lgd_elbe_ec &lt;&gt; irtng_elbe_bde_ec then 1 end) as 'NO match irtng_elbe_bde_ec and lgd_elbe_ec',count(case when lgd_elbe_ec is null and irtng_elbe_bde_ec is not null then 1 end) as 'irtng_elbe_bde_ec null lgd_elbe_ec Not null ',count(case when lgd_elbe_ec is not null and irtng_elbe_bde_ec is null then 1 end) as 'irtng_elbe_bde_ec NOT null lgd_elbe_ec null ',</t>
  </si>
  <si>
    <t>count(case when off_bal_ccf_reg = irtng_ccf_off_bal_bde or ( off_bal_ccf_reg is null and irtng_ccf_off_bal_bde is null) then 1 end) as 'match irtng_ccf_off_bal_bde and off_bal_ccf_reg',count(case when off_bal_ccf_reg &lt;&gt; irtng_ccf_off_bal_bde then 1 end) as 'NO match irtng_ccf_off_bal_bde and off_bal_ccf_reg',count(case when off_bal_ccf_reg is null and irtng_ccf_off_bal_bde is not null then 1 end) as 'irtng_ccf_off_bal_bde null off_bal_ccf_reg Not null ',count(case when off_bal_ccf_reg is not null and irtng_ccf_off_bal_bde is null then 1 end) as 'irtng_ccf_off_bal_bde NOT null off_bal_ccf_reg null ',</t>
  </si>
  <si>
    <t>count(case when on_bal_ccf_reg = irtng_ccf_on_bal_bde or ( on_bal_ccf_reg is null and irtng_ccf_on_bal_bde is null) then 1 end) as 'match irtng_ccf_on_bal_bde and on_bal_ccf_reg',count(case when on_bal_ccf_reg &lt;&gt; irtng_ccf_on_bal_bde then 1 end) as 'NO match irtng_ccf_on_bal_bde and on_bal_ccf_reg',count(case when on_bal_ccf_reg is null and irtng_ccf_on_bal_bde is not null then 1 end) as 'irtng_ccf_on_bal_bde null on_bal_ccf_reg Not null ',count(case when on_bal_ccf_reg is not null and irtng_ccf_on_bal_bde is null then 1 end) as 'irtng_ccf_on_bal_bde NOT null on_bal_ccf_reg null ',</t>
  </si>
  <si>
    <t>count(case when off_bal_ccf_ec = irtng_off_bal_ccf_bde_ec or ( off_bal_ccf_ec is null and irtng_off_bal_ccf_bde_ec is null) then 1 end) as 'match irtng_off_bal_ccf_bde_ec and off_bal_ccf_ec',count(case when off_bal_ccf_ec &lt;&gt; irtng_off_bal_ccf_bde_ec then 1 end) as 'NO match irtng_off_bal_ccf_bde_ec and off_bal_ccf_ec',count(case when off_bal_ccf_ec is null and irtng_off_bal_ccf_bde_ec is not null then 1 end) as 'irtng_off_bal_ccf_bde_ec null off_bal_ccf_ec Not null ',count(case when off_bal_ccf_ec is not null and irtng_off_bal_ccf_bde_ec is null then 1 end) as 'irtng_off_bal_ccf_bde_ec NOT null off_bal_ccf_ec null ',</t>
  </si>
  <si>
    <t>count(case when round(ead_reg,2) = irtng_ead_reg_bde or ( ead_reg is null and irtng_ead_reg_bde is null) then 1 end) as 'match ead_reg',count(case when round(ead_reg,2) &lt;&gt; irtng_ead_reg_bde then 1 end) as 'NO match ead_reg',count(case when ead_reg is null and irtng_ead_reg_bde is not null then 1 end) as 'mir null irb2 Not null ead_reg',count(case when ead_reg is not null and irtng_ead_reg_bde is null then 1 end) as 'mir NOT null irb2 null ead_reg',</t>
  </si>
  <si>
    <t>count(case when lgd_reg = irtng_lgd_bde or ( lgd_reg is null and irtng_lgd_bde is null) then 1 end) as 'match irtng_lgd_bde and lgd_reg',count(case when lgd_reg &lt;&gt; irtng_lgd_bde then 1 end) as 'NO match irtng_lgd_bde and lgd_reg',count(case when lgd_reg is null and irtng_lgd_bde is not null then 1 end) as 'irtng_lgd_bde null lgd_reg Not null ',count(case when lgd_reg is not null and irtng_lgd_bde is null then 1 end) as 'irtng_lgd_bde NOT null lgd_reg null ',</t>
  </si>
  <si>
    <t>count(case when nominal_balance_ec = irtng_nominal_balance_bde_ec or ( nominal_balance_ec is null and irtng_nominal_balance_bde_ec is null) then 1 end) as 'match irtng_nominal_balance_bde_ec and nominal_balance_ec',count(case when nominal_balance_ec &lt;&gt; irtng_nominal_balance_bde_ec then 1 end) as 'NO match irtng_nominal_balance_bde_ec and nominal_balance_ec',count(case when nominal_balance_ec is null and irtng_nominal_balance_bde_ec is not null then 1 end) as 'irtng_nominal_balance_bde_ec null nominal_balance_ec Not null ',count(case when nominal_balance_ec is not null and irtng_nominal_balance_bde_ec is null then 1 end) as 'irtng_nominal_balance_bde_ec NOT null nominal_balance_ec null '</t>
  </si>
  <si>
    <t xml:space="preserve">from </t>
  </si>
  <si>
    <t>(select *</t>
  </si>
  <si>
    <t>prod_multi_entity_capital_enriched.main_internal_ratings_partitions</t>
  </si>
  <si>
    <t>where date_processed = '2024-12-31' and audt_execution_version ='MCM7' and load_process = "BANKING_IRB")prod</t>
  </si>
  <si>
    <t>inner join</t>
  </si>
  <si>
    <t>from</t>
  </si>
  <si>
    <t xml:space="preserve"> prod_retail_capital_enriched.banking_irb2_model_ecb_partitions</t>
  </si>
  <si>
    <t>where date_processed = '2024-12-31'</t>
  </si>
  <si>
    <t>and audt_execution_version ='MCM7' )exp</t>
  </si>
  <si>
    <t>on exp.cntr_contract_id= prod.irtng_contract_id</t>
  </si>
  <si>
    <t>group by exp.date_processed,prod.audt_process_timestamp, exp.audt_process_timestamp,prod.audt_execution_version</t>
  </si>
  <si>
    <t>Results:</t>
  </si>
  <si>
    <t>match irtng_pd_bde and pd_reg</t>
  </si>
  <si>
    <t>no match irtng_pd_bde and pd_reg</t>
  </si>
  <si>
    <t xml:space="preserve">irtng_pd_bde null pd_reg not null </t>
  </si>
  <si>
    <t xml:space="preserve">irtng_pd_bde not null pd_reg null </t>
  </si>
  <si>
    <t>match irtng_pd_bde_ec and pd_ec</t>
  </si>
  <si>
    <t>no match irtng_pd_bde_ec and pd_ec</t>
  </si>
  <si>
    <t xml:space="preserve">irtng_pd_bde_ec null pd_ec not null </t>
  </si>
  <si>
    <t xml:space="preserve">irtng_pd_bde_ec not null pd_ec null </t>
  </si>
  <si>
    <t>match irtng_lgd_bde_ec and lgd_ec</t>
  </si>
  <si>
    <t>no match irtng_lgd_bde_ec and lgd_ec</t>
  </si>
  <si>
    <t xml:space="preserve">irtng_lgd_bde_ec null lgd_ec not null </t>
  </si>
  <si>
    <t xml:space="preserve">irtng_lgd_bde_ec not null lgd_ec null </t>
  </si>
  <si>
    <t>match irtng_elbe_bde and lgd_elbe_reg</t>
  </si>
  <si>
    <t>no match irtng_elbe_bde and lgd_elbe_reg</t>
  </si>
  <si>
    <t xml:space="preserve">irtng_elbe_bde null lgd_elbe_reg not null </t>
  </si>
  <si>
    <t xml:space="preserve">irtng_elbe_bde not null lgd_elbe_reg null </t>
  </si>
  <si>
    <t>match irtng_elbe_bde_ec and lgd_elbe_ec</t>
  </si>
  <si>
    <t>no match irtng_elbe_bde_ec and lgd_elbe_ec</t>
  </si>
  <si>
    <t xml:space="preserve">irtng_elbe_bde_ec null lgd_elbe_ec not null </t>
  </si>
  <si>
    <t xml:space="preserve">irtng_elbe_bde_ec not null lgd_elbe_ec null </t>
  </si>
  <si>
    <t>match irtng_ccf_off_bal_bde and off_bal_ccf_reg</t>
  </si>
  <si>
    <t>no match irtng_ccf_off_bal_bde and off_bal_ccf_reg</t>
  </si>
  <si>
    <t xml:space="preserve">irtng_ccf_off_bal_bde null off_bal_ccf_reg not null </t>
  </si>
  <si>
    <t xml:space="preserve">irtng_ccf_off_bal_bde not null off_bal_ccf_reg null </t>
  </si>
  <si>
    <t>match irtng_ccf_on_bal_bde and on_bal_ccf_reg</t>
  </si>
  <si>
    <t>no match irtng_ccf_on_bal_bde and on_bal_ccf_reg</t>
  </si>
  <si>
    <t xml:space="preserve">irtng_ccf_on_bal_bde null on_bal_ccf_reg not null </t>
  </si>
  <si>
    <t xml:space="preserve">irtng_ccf_on_bal_bde not null on_bal_ccf_reg null </t>
  </si>
  <si>
    <t>match irtng_off_bal_ccf_bde_ec and off_bal_ccf_ec</t>
  </si>
  <si>
    <t>no match irtng_off_bal_ccf_bde_ec and off_bal_ccf_ec</t>
  </si>
  <si>
    <t xml:space="preserve">irtng_off_bal_ccf_bde_ec null off_bal_ccf_ec not null </t>
  </si>
  <si>
    <t xml:space="preserve">irtng_off_bal_ccf_bde_ec not null off_bal_ccf_ec null </t>
  </si>
  <si>
    <t>mir null irb2 not null ead_reg</t>
  </si>
  <si>
    <t>mir not null irb2 null ead_reg</t>
  </si>
  <si>
    <t>match irtng_lgd_bde and lgd_reg</t>
  </si>
  <si>
    <t>no match irtng_lgd_bde and lgd_reg</t>
  </si>
  <si>
    <t xml:space="preserve">irtng_lgd_bde null lgd_reg not null </t>
  </si>
  <si>
    <t xml:space="preserve">irtng_lgd_bde not null lgd_reg null </t>
  </si>
  <si>
    <t>match irtng_nominal_balance_bde_ec and nominal_balance_ec</t>
  </si>
  <si>
    <t>no match irtng_nominal_balance_bde_ec and nominal_balance_ec</t>
  </si>
  <si>
    <t xml:space="preserve">irtng_nominal_balance_bde_ec null nominal_balance_ec not null </t>
  </si>
  <si>
    <t xml:space="preserve">irtng_nominal_balance_bde_ec not null nominal_balance_ec null </t>
  </si>
  <si>
    <t>T07a -exp_capital_team.application_loan_partitions_ecb regression testing  with existing_columns in proddc2</t>
  </si>
  <si>
    <t>source_system</t>
  </si>
  <si>
    <t>src_application_idcount</t>
  </si>
  <si>
    <t>tgt_application_idcount</t>
  </si>
  <si>
    <t>application_id_count</t>
  </si>
  <si>
    <t>application_input_date_count</t>
  </si>
  <si>
    <t>application_score_count</t>
  </si>
  <si>
    <t>application_score_date_count</t>
  </si>
  <si>
    <t>application_score_id_count</t>
  </si>
  <si>
    <t>application_status_count</t>
  </si>
  <si>
    <t>original_loan_amt_count</t>
  </si>
  <si>
    <t>original_loan_term_mnths_count</t>
  </si>
  <si>
    <t>original_repayment_amt_count</t>
  </si>
  <si>
    <t>call_type_count</t>
  </si>
  <si>
    <t>decision_id_count</t>
  </si>
  <si>
    <t>risk_score_count</t>
  </si>
  <si>
    <t>risk_scorecard_id_count</t>
  </si>
  <si>
    <t>distribution_channel_typ_cd_count</t>
  </si>
  <si>
    <t>publicity_channel_typ_code_count</t>
  </si>
  <si>
    <t>contra_ind_count</t>
  </si>
  <si>
    <t>source_system_count</t>
  </si>
  <si>
    <t>PARTENON_RETAIL</t>
  </si>
  <si>
    <t>select 
tgt.date_processed, tgt.source_system,
count(src.application_id) src_application_idcount,
count(tgt.application_id) tgt_application_idcount,
count(src.application_id)-sum(case when (src.application_id = tgt.application_id) or (src.application_id is null and tgt.application_id  is null ) then 1 else 0 end) application_id_count,
count(src.application_id)-sum(case when (src.contract_id = tgt.contract_id) or (src.contract_id is null and tgt.contract_id  is null ) then 1 else 0 end) contract_id_count,
count(src.application_id)-sum(case when (src.account_reference = tgt.account_reference) or (src.account_reference is null and tgt.account_reference  is null ) then 1 else 0 end) account_reference_count,
count(src.application_id)-sum(case when (src.application_input_date = tgt.application_input_date) or (src.application_input_date is null and tgt.application_input_date  is null ) then 1 else 0 end) application_input_date_count,
count(src.application_id)-sum(case when (src.application_score = tgt.application_score) or (src.application_score is null and tgt.application_score  is null ) then 1 else 0 end) application_score_count,
count(src.application_id)-sum(case when (src.application_score_date = tgt.application_score_date) or (src.application_score_date is null and tgt.application_score_date  is null ) then 1 else 0 end) application_score_date_count,
count(src.application_id)-sum(case when (src.application_score_id = tgt.application_score_id) or (src.application_score_id is null and tgt.application_score_id  is null ) then 1 else 0 end) application_score_id_count,
count(src.application_id)-sum(case when (src.application_status = tgt.application_status) or (src.application_status is null and tgt.application_status  is null ) then 1 else 0 end) application_status_count,
count(src.application_id)-sum(case when (src.original_loan_amt = tgt.original_loan_amt) or (src.original_loan_amt is null and tgt.original_loan_amt  is null ) then 1 else 0 end) original_loan_amt_count,
count(src.application_id)-sum(case when (src.original_loan_term_mnths = tgt.original_loan_term_mnths) or (src.original_loan_term_mnths is null and tgt.original_loan_term_mnths  is null ) then 1 else 0 end) original_loan_term_mnths_count,
count(src.application_id)-sum(case when (src.original_repayment_amt = tgt.original_repayment_amt) or (src.original_repayment_amt is null and tgt.original_repayment_amt  is null ) then 1 else 0 end) original_repayment_amt_count,
count(src.application_id)-sum(case when (src.call_type = tgt.call_type) or (src.call_type is null and tgt.call_type  is null ) then 1 else 0 end) call_type_count,
count(src.application_id)-sum(case when (src.decision_id = tgt.decision_id) or (src.decision_id is null and tgt.decision_id  is null ) then 1 else 0 end) decision_id_count,
count(src.application_id)-sum(case when (src.risk_score = tgt.risk_score) or (src.risk_score is null and tgt.risk_score  is null ) then 1 else 0 end) risk_score_count,
count(src.application_id)-sum(case when (src.risk_scorecard_id = tgt.risk_scorecard_id) or (src.risk_scorecard_id is null and tgt.risk_scorecard_id  is null ) then 1 else 0 end) risk_scorecard_id_count,
count(src.application_id)-sum(case when (src.distribution_channel_typ_cd = tgt.distribution_channel_typ_cd) or (src.distribution_channel_typ_cd is null and tgt.distribution_channel_typ_cd  is null ) then 1 else 0 end) distribution_channel_typ_cd_count,
count(src.application_id)-sum(case when (src.publicity_channel_typ_code = tgt.publicity_channel_typ_code) or (src.publicity_channel_typ_code is null and tgt.publicity_channel_typ_code  is null ) then 1 else 0 end) publicity_channel_typ_code_count,
count(src.application_id)-sum(case when (src.contra_ind = tgt.contra_ind) or (src.contra_ind is null and tgt.contra_ind  is null ) then 1 else 0 end) contra_ind_count,
count(src.application_id)-sum(case when (src.date_processed = tgt.date_processed) or (src.date_processed is null and tgt.date_processed  is null ) then 1 else 0 end) date_processed_count,
count(src.application_id)-sum(case when (src.source_system = tgt.source_system) or (src.source_system is null and tgt.source_system  is null ) then 1 else 0 end) source_system_count
from 
(select * from retail_contracts_enriched.application_loan_partitions
where date_processed = '2024-12-31' and source_system = 'PARTENON_RETAIL') src
full outer join
(select * from exp_capital_team.application_loan_partitions_ecb
where date_processed = '2024-12-31' and source_system = 'PARTENON_RETAIL') tgt
on src.application_id = tgt.application_id
group by tgt.date_processed, tgt.source_system;</t>
  </si>
  <si>
    <t>Due to null fix in source (csr_caso_partitions)</t>
  </si>
  <si>
    <t>distribution_channel_typ_cd</t>
  </si>
  <si>
    <t>select
tgt.date_processed, tgt.source_system,
count(*),
count(case when src.distribution_channel_typ_cd= tgt.distribution_channel_typ_cd then 1 end ) as match,
count(case when src.distribution_channel_typ_cd&lt;&gt; tgt.distribution_channel_typ_cd then 1 end ) as NO_match,
count(case when src.distribution_channel_typ_cd is null and  tgt.distribution_channel_typ_cd is null then 1 end ) as both_null,
count(case when src.distribution_channel_typ_cd is null and  tgt.distribution_channel_typ_cd is not null then 1 end ) as src_is_null_and_tgt_is_not_null,
count(case when src.distribution_channel_typ_cd is not null and  tgt.distribution_channel_typ_cd is null then 1 end ) as src_is_not_null_and_tgt_is_null
from
(select * from retail_contracts_enriched.application_loan_partitions
where date_processed = '2024-12-31' and source_system = 'PARTENON_RETAIL') src
full outer join
(select * from exp_capital_team.application_loan_partitions_ecb
where date_processed = '2024-12-31' and source_system = 'PARTENON_RETAIL') tgt
on src.application_id = tgt.application_id
group by tgt.date_processed, tgt.source_system ;</t>
  </si>
  <si>
    <t>match</t>
  </si>
  <si>
    <t>no_match</t>
  </si>
  <si>
    <t>src_is_null_and_tgt_is_not_null</t>
  </si>
  <si>
    <t>src_is_not_null_and_tgt_is_null</t>
  </si>
  <si>
    <t>Differences</t>
  </si>
  <si>
    <t>select
src.application_id, src.distribution_channel_typ_cd, tgt.distribution_channel_typ_cd
from
(select * from retail_contracts_enriched.application_loan_partitions
where date_processed = '2024-12-31' and source_system = 'PARTENON_RETAIL') src
full outer join
(select * from exp_capital_team.application_loan_partitions_ecb
where date_processed = '2024-12-31' and source_system = 'PARTENON_RETAIL') tgt
on src.application_id = tgt.application_id
where src.distribution_channel_typ_cd is null and tgt.distribution_channel_typ_cd is not null;</t>
  </si>
  <si>
    <t>application_id</t>
  </si>
  <si>
    <t>00151052010388428000001</t>
  </si>
  <si>
    <t>NULL</t>
  </si>
  <si>
    <t>00155276010388764600001</t>
  </si>
  <si>
    <t>1</t>
  </si>
  <si>
    <t>00155276010388745600001</t>
  </si>
  <si>
    <t>00152762010388316600001</t>
  </si>
  <si>
    <t>00155276010388735700001</t>
  </si>
  <si>
    <t>00158193010388354400001</t>
  </si>
  <si>
    <t>00155276010388777200001</t>
  </si>
  <si>
    <t>00151496010388173300001</t>
  </si>
  <si>
    <t>00155276010388726300001</t>
  </si>
  <si>
    <t>00151052010388380800001</t>
  </si>
  <si>
    <t>00154247010388430600001</t>
  </si>
  <si>
    <t>00158193010388605900001</t>
  </si>
  <si>
    <t>00155276010388784600001</t>
  </si>
  <si>
    <t>00155276010388771500001</t>
  </si>
  <si>
    <t>00158193010388265400001</t>
  </si>
  <si>
    <t>00155276010388811900001</t>
  </si>
  <si>
    <t>T07b -exp_capital_team.application_loan_partitions_ecb new columns logic testing in proddc2</t>
  </si>
  <si>
    <t>Logic Code- new columns</t>
  </si>
  <si>
    <t>select 
tgt.date_processed, tgt.source_system,
count(*),
count(case when src.application_score_ecb= tgt.application_score_ecb then 1 end ) as match,
count(case when src.application_score_ecb&lt;&gt; tgt.application_score_ecb then 1 end ) as NO_match,
count(case when src.application_score_ecb is null and  tgt.application_score_ecb is null then 1 end ) as both_null,
count(case when src.application_score_ecb is null and  tgt.application_score_ecb is not null then 1 end ) as src_is_null_and_tgt_is_not_null,
count(case when src.application_score_ecb is not null and  tgt.application_score_ecb is null then 1 end ) as src_is_not_null_and_tgt_is_null
from
(select prim.application_id,
case when prim.application_score_ecb is null or cast(prim.application_score_ecb as string) = '' then prevapploan.risk_score
else  cast(prim.application_score_ecb as string) end as application_score_ecb
from
(select
concat(trim(e1765_idempr), trim(e1765_idcent), trim(e1765_codcaso), 
trim(e1765_version), trim(e1765_idsolcas)) as application_id,
basel_scorecard_id as application_score_id,
basel_score as application_score,
risk_scorecard_id as application_score_id_ecb,
risk_score as application_score_ecb
from  
(select 
e1765_idempr, e1765_idcent, e1765_codcaso, 
e1765_version, e1765_idsolcas, e1765_idprnego, 
e1765_codestpn, e1765_fecsopro
from retail_applications.csr_gnralprduct_partitions
where date_processed = '2024-12-31' and e1765_idprnego = '0008') gnral
left outer join
(select regexp_replace(entityid, "[^a-zA-Z0-9\u00E0-\u00FC ]+", "") as entityid,
centreid,caseid,version,codigodesolicitud, applicationdatetime,basel_scorecard_id,basel_score, risk_score, risk_scorecard_id
from
(select entityid,centreid,caseid,version,codigodesolicitud,basel_scorecard_id,basel_score, risk_score, risk_scorecard_id,rn from
(select
regexp_replace(entityid, "[^0-9A-Za-z]+", "") as entityid,centreid,caseid,version,codigodesolicitud,basel_scorecard_id,basel_score, risk_score, risk_scorecard_id,
row_number() over (partition by temp_concat order by applicationdatetime desc) as rn
from
(select 
entityid, centreid, caseid, 
version, codigodesolicitud, calltype, 
decisionid, applicationdatetime, basel_scorecard_id, 
basel_score, risk_score, regexp_replace(risk_scorecard_id, "[^0-9A-Za-z]+", "") as risk_scorecard_id,
concat(regexp_replace(entityid, "[^0-9A-Za-z]+", ""), trim(centreid), trim(caseid),
trim(version), trim(codigodesolicitud)) as temp_concat
from retail_decisioning_enriched.risk_decision_data_upl
where date_processed &lt;= '2024-12-31' OR date_processed &lt;= '20241231') risk2) risk3
where rn =1)risk_rank
left outer join
(select 
entityid as min_entityid,
centreid as min_centreid,
caseid as min_caseid,
version as min_version,
codigodesolicitud as min_codigodesolicitud,
min(applicationdatetime) as applicationdatetime
from
(select 
entityid, centreid, caseid, 
version, codigodesolicitud, calltype, 
decisionid, applicationdatetime, basel_scorecard_id, 
basel_score, risk_score, regexp_replace(risk_scorecard_id, "[^0-9A-Za-z]+", "") as risk_scorecard_id
from retail_decisioning_enriched.risk_decision_data_upl
where date_processed &lt;= '2024-12-31' OR date_processed &lt;= '20241231') risk1
group by entityid, centreid, caseid, version, codigodesolicitud) risk_min
on risk_rank.entityid = risk_min.min_entityid and
risk_rank.centreid = risk_min.min_centreid and
risk_rank.caseid = risk_min.min_caseid and
risk_rank.version = risk_min.min_version and
risk_rank.codigodesolicitud = risk_min.min_codigodesolicitud) risk_decision
on gnral.e1765_idempr = risk_decision.entityid and 
gnral.e1765_idcent = risk_decision.centreid and
gnral.e1765_codcaso = risk_decision.caseid and
gnral.e1765_version = risk_decision.version and
gnral.e1765_idsolcas = risk_decision.codigodesolicitud) prim
full outer join
(select 
application_id, application_input_date, 
call_type, decision_id, application_score_date, 
original_loan_amt, original_loan_term_mnths, 
original_repayment_amt, application_score, 
application_score_id, account_reference, 
contract_id, application_status, risk_score, risk_scorecard_id
from retail_contracts_enriched.application_loan_partitions
where date_processed = '2024-12-30') prevapploan
on prim.application_id = prevapploan.application_id) src
join
(select * from exp_capital_team.application_loan_partitions_ecb
where date_processed = '2024-12-31' and source_system = 'PARTENON_RETAIL') tgt
on src.application_id = tgt.application_id
group by tgt.date_processed, tgt.source_system;</t>
  </si>
  <si>
    <t>select 
tgt.date_processed, tgt.source_system,
count(*),
count(case when src.application_score_id_ecb= tgt.application_score_id_ecb then 1 end ) as match,
count(case when src.application_score_id_ecb&lt;&gt; tgt.application_score_id_ecb then 1 end ) as NO_match,
count(case when src.application_score_id_ecb is null and  tgt.application_score_id_ecb is null then 1 end ) as both_null,
count(case when src.application_score_id_ecb is null and  tgt.application_score_id_ecb is not null then 1 end ) as src_is_null_and_tgt_is_not_null,
count(case when src.application_score_id_ecb is not null and  tgt.application_score_id_ecb is null then 1 end ) as src_is_not_null_and_tgt_is_null
from
(select prim.application_id,
case when prim.application_score_id_ecb is null or cast(prim.application_score_id_ecb as string) = '' then prevapploan.risk_scorecard_id
else  cast(prim.application_score_id_ecb as string) end as application_score_id_ecb
from
(select
concat(trim(e1765_idempr), trim(e1765_idcent), trim(e1765_codcaso), 
trim(e1765_version), trim(e1765_idsolcas)) as application_id,
basel_scorecard_id as application_score_id,
basel_score as application_score,
risk_scorecard_id as application_score_id_ecb,
risk_score as application_score_ecb
from  
(select 
e1765_idempr, e1765_idcent, e1765_codcaso, 
e1765_version, e1765_idsolcas, e1765_idprnego, 
e1765_codestpn, e1765_fecsopro
from retail_applications.csr_gnralprduct_partitions
where date_processed = '2024-12-31' and e1765_idprnego = '0008') gnral
left outer join
(select regexp_replace(entityid, "[^a-zA-Z0-9\u00E0-\u00FC ]+", "") as entityid,
centreid,caseid,version,codigodesolicitud, applicationdatetime,basel_scorecard_id,basel_score, risk_score, risk_scorecard_id
from
(select entityid,centreid,caseid,version,codigodesolicitud,basel_scorecard_id,basel_score, risk_score, risk_scorecard_id,rn from
(select
regexp_replace(entityid, "[^0-9A-Za-z]+", "") as entityid,centreid,caseid,version,codigodesolicitud,basel_scorecard_id,basel_score, risk_score, risk_scorecard_id,
row_number() over (partition by temp_concat order by applicationdatetime desc) as rn
from
(select 
entityid, centreid, caseid, 
version, codigodesolicitud, calltype, 
decisionid, applicationdatetime, basel_scorecard_id, 
basel_score, risk_score, regexp_replace(risk_scorecard_id, "[^0-9A-Za-z]+", "") as risk_scorecard_id,
concat(regexp_replace(entityid, "[^0-9A-Za-z]+", ""), trim(centreid), trim(caseid),
trim(version), trim(codigodesolicitud)) as temp_concat
from retail_decisioning_enriched.risk_decision_data_upl
where date_processed &lt;= '2024-12-31' OR date_processed &lt;= '20241231') risk2) risk3
where rn =1)risk_rank
left outer join
(select 
entityid as min_entityid,
centreid as min_centreid,
caseid as min_caseid,
version as min_version,
codigodesolicitud as min_codigodesolicitud,
min(applicationdatetime) as applicationdatetime
from
(select 
entityid, centreid, caseid, 
version, codigodesolicitud, calltype, 
decisionid, applicationdatetime, basel_scorecard_id, 
basel_score, risk_score, regexp_replace(risk_scorecard_id, "[^0-9A-Za-z]+", "") as risk_scorecard_id
from retail_decisioning_enriched.risk_decision_data_upl
where date_processed &lt;= '2024-12-31' OR date_processed &lt;= '20241231') risk1
group by entityid, centreid, caseid, version, codigodesolicitud) risk_min
on risk_rank.entityid = risk_min.min_entityid and
risk_rank.centreid = risk_min.min_centreid and
risk_rank.caseid = risk_min.min_caseid and
risk_rank.version = risk_min.min_version and
risk_rank.codigodesolicitud = risk_min.min_codigodesolicitud) risk_decision
on gnral.e1765_idempr = risk_decision.entityid and 
gnral.e1765_idcent = risk_decision.centreid and
gnral.e1765_codcaso = risk_decision.caseid and
gnral.e1765_version = risk_decision.version and
gnral.e1765_idsolcas = risk_decision.codigodesolicitud) prim
full outer join
(select 
application_id, application_input_date, 
call_type, decision_id, application_score_date, 
original_loan_amt, original_loan_term_mnths, 
original_repayment_amt, application_score, 
application_score_id, account_reference, 
contract_id, application_status, risk_score, risk_scorecard_id
from retail_contracts_enriched.application_loan_partitions
where date_processed = '2024-12-30') prevapploan
on prim.application_id = prevapploan.application_id) src
join
(select * from exp_capital_team.application_loan_partitions_ecb
where date_processed = '2024-12-31' and source_system = 'PARTENON_RETAIL') tgt
on src.application_id = tgt.application_id
group by tgt.date_processed, tgt.source_system;</t>
  </si>
  <si>
    <t>T08 - prod_retail_capital_enriched.main_upl_driver regression testing in pre</t>
  </si>
  <si>
    <t>contract_source_system_count</t>
  </si>
  <si>
    <t>time_on_books_mths_cnt_count</t>
  </si>
  <si>
    <t>e1a03_min_count</t>
  </si>
  <si>
    <t>e1a06_max_count</t>
  </si>
  <si>
    <t>e1a06_min_count</t>
  </si>
  <si>
    <t>e1a10_max_count</t>
  </si>
  <si>
    <t>e1b03_min_count</t>
  </si>
  <si>
    <t>e1b07_max_count</t>
  </si>
  <si>
    <t>e1b08_max_count</t>
  </si>
  <si>
    <t>e4q04_max_count</t>
  </si>
  <si>
    <t>ea1e02_min_count</t>
  </si>
  <si>
    <t>ea1f04_max_count</t>
  </si>
  <si>
    <t>ea5s01_min_count</t>
  </si>
  <si>
    <t>e1b10_min_count</t>
  </si>
  <si>
    <t>e1b12_max_count</t>
  </si>
  <si>
    <t>e1b12_min_count</t>
  </si>
  <si>
    <t>e2h07_min_count</t>
  </si>
  <si>
    <t>ndecc02_max_count</t>
  </si>
  <si>
    <t>ndg02_min_count</t>
  </si>
  <si>
    <t>ndhac09_max_count</t>
  </si>
  <si>
    <t>ndhac09_min_count</t>
  </si>
  <si>
    <t>ndspcii_max_count</t>
  </si>
  <si>
    <t>max_bnkg_beh_score_count</t>
  </si>
  <si>
    <t>maturity_days_count</t>
  </si>
  <si>
    <t>current_net_balance_count</t>
  </si>
  <si>
    <t>loan_term_count</t>
  </si>
  <si>
    <t>installments_in_arrears_count</t>
  </si>
  <si>
    <t>worst_mths_arrears_l12m_count</t>
  </si>
  <si>
    <t>days_past_due_mnths_count</t>
  </si>
  <si>
    <t>mths_since_last_arrears_imd_count</t>
  </si>
  <si>
    <t>worst_mths_arrears_l12m_imd_count</t>
  </si>
  <si>
    <t>arrears_history_cde_count</t>
  </si>
  <si>
    <t>status_dual_count</t>
  </si>
  <si>
    <t>worst_status_l12m_dual_count</t>
  </si>
  <si>
    <t>in_arrears_l12m_count</t>
  </si>
  <si>
    <t>curr_calc_instm_down_qty_count</t>
  </si>
  <si>
    <t>orig_calc_instlm_down_qty_count</t>
  </si>
  <si>
    <t>mnths_remaining_term_count</t>
  </si>
  <si>
    <t>on_balance_sheet_exposure_count</t>
  </si>
  <si>
    <t>cur_orig_bal_ratio_count</t>
  </si>
  <si>
    <t>change_in_arrears_l3m_count</t>
  </si>
  <si>
    <t>maximum_arrears_l12m_count</t>
  </si>
  <si>
    <t>interest_rate_count</t>
  </si>
  <si>
    <t>status_irb2_count</t>
  </si>
  <si>
    <t>arrears_history_cde_irb2_count</t>
  </si>
  <si>
    <t>select
tgt.date_processed as date_processed,
tgt.audt_execution_version as audt_execution_version,
count(src.cntr_contract_id) src_cntr_contract_idcount,
count(tgt.cntr_contract_id) tgt_cntr_contract_idcount,
count(src.cntr_contract_id)-sum(case when (src.contract_source_system = tgt.contract_source_system) or (src.contract_source_system is null and tgt.contract_source_system  is null ) then 1 else 0 end) contract_source_system_count,
count(src.cntr_contract_id)-sum(case when (src.cntr_contract_id = tgt.cntr_contract_id) or (src.cntr_contract_id is null and tgt.cntr_contract_id  is null ) then 1 else 0 end) cntr_contract_id_count,
count(src.cntr_contract_id)-sum(case when (src.holding_reference = tgt.holding_reference) or (src.holding_reference is null and tgt.holding_reference  is null ) then 1 else 0 end) holding_reference_count,
count(src.cntr_contract_id)-sum(case when (src.time_on_books_mths_cnt = tgt.time_on_books_mths_cnt) or (src.time_on_books_mths_cnt is null and tgt.time_on_books_mths_cnt  is null ) then 1 else 0 end) time_on_books_mths_cnt_count,
count(src.cntr_contract_id)-sum(case when (src.audt_process_timestamp = tgt.audt_process_timestamp) or (src.audt_process_timestamp is null and tgt.audt_process_timestamp  is null ) then 1 else 0 end) audt_process_timestamp_count,
count(src.cntr_contract_id)-sum(case when (src.software_version = tgt.software_version) or (src.software_version is null and tgt.software_version  is null ) then 1 else 0 end) software_version_count,
count(src.cntr_contract_id)-sum(case when (src.delphi_bankruptcy_ind = tgt.delphi_bankruptcy_ind) or (src.delphi_bankruptcy_ind is null and tgt.delphi_bankruptcy_ind  is null ) then 1 else 0 end) delphi_bankruptcy_ind_count,
count(src.cntr_contract_id)-sum(case when (src.e1a03_min = tgt.e1a03_min) or (src.e1a03_min is null and tgt.e1a03_min  is null ) then 1 else 0 end) e1a03_min_count,
count(src.cntr_contract_id)-sum(case when (src.e1a06_max = tgt.e1a06_max) or (src.e1a06_max is null and tgt.e1a06_max  is null ) then 1 else 0 end) e1a06_max_count,
count(src.cntr_contract_id)-sum(case when (src.e1a06_min = tgt.e1a06_min) or (src.e1a06_min is null and tgt.e1a06_min  is null ) then 1 else 0 end) e1a06_min_count,
count(src.cntr_contract_id)-sum(case when (src.e1a10_max = tgt.e1a10_max) or (src.e1a10_max is null and tgt.e1a10_max  is null ) then 1 else 0 end) e1a10_max_count,
count(src.cntr_contract_id)-sum(case when (src.e1b03_min = tgt.e1b03_min) or (src.e1b03_min is null and tgt.e1b03_min  is null ) then 1 else 0 end) e1b03_min_count,
count(src.cntr_contract_id)-sum(case when (src.e1b07_max = tgt.e1b07_max) or (src.e1b07_max is null and tgt.e1b07_max  is null ) then 1 else 0 end) e1b07_max_count,
count(src.cntr_contract_id)-sum(case when (src.e1b08_max = tgt.e1b08_max) or (src.e1b08_max is null and tgt.e1b08_max  is null ) then 1 else 0 end) e1b08_max_count,
count(src.cntr_contract_id)-sum(case when (src.e4q04_max = tgt.e4q04_max) or (src.e4q04_max is null and tgt.e4q04_max  is null ) then 1 else 0 end) e4q04_max_count,
count(src.cntr_contract_id)-sum(case when (src.ea1e02_min = tgt.ea1e02_min) or (src.ea1e02_min is null and tgt.ea1e02_min  is null ) then 1 else 0 end) ea1e02_min_count,
count(src.cntr_contract_id)-sum(case when (src.ea1f04_max = tgt.ea1f04_max) or (src.ea1f04_max is null and tgt.ea1f04_max  is null ) then 1 else 0 end) ea1f04_max_count,
count(src.cntr_contract_id)-sum(case when (src.ea5s01_min = tgt.ea5s01_min) or (src.ea5s01_min is null and tgt.ea5s01_min  is null ) then 1 else 0 end) ea5s01_min_count,
count(src.cntr_contract_id)-sum(case when (src.e1b10_min = tgt.e1b10_min) or (src.e1b10_min is null and tgt.e1b10_min  is null ) then 1 else 0 end) e1b10_min_count,
count(src.cntr_contract_id)-sum(case when (src.e1b12_max = tgt.e1b12_max) or (src.e1b12_max is null and tgt.e1b12_max  is null ) then 1 else 0 end) e1b12_max_count,
count(src.cntr_contract_id)-sum(case when (src.e1b12_min = tgt.e1b12_min) or (src.e1b12_min is null and tgt.e1b12_min  is null ) then 1 else 0 end) e1b12_min_count,
count(src.cntr_contract_id)-sum(case when (src.e2h07_min = tgt.e2h07_min) or (src.e2h07_min is null and tgt.e2h07_min  is null ) then 1 else 0 end) e2h07_min_count,
count(src.cntr_contract_id)-sum(case when (src.ndecc02_max = tgt.ndecc02_max) or (src.ndecc02_max is null and tgt.ndecc02_max  is null ) then 1 else 0 end) ndecc02_max_count,
count(src.cntr_contract_id)-sum(case when (src.ndg02_min = tgt.ndg02_min) or (src.ndg02_min is null and tgt.ndg02_min  is null ) then 1 else 0 end) ndg02_min_count,
count(src.cntr_contract_id)-sum(case when (src.ndhac09_max = tgt.ndhac09_max) or (src.ndhac09_max is null and tgt.ndhac09_max  is null ) then 1 else 0 end) ndhac09_max_count,
count(src.cntr_contract_id)-sum(case when (src.ndhac09_min = tgt.ndhac09_min) or (src.ndhac09_min is null and tgt.ndhac09_min  is null ) then 1 else 0 end) ndhac09_min_count,
count(src.cntr_contract_id)-sum(case when (src.ndspcii_max = tgt.ndspcii_max) or (src.ndspcii_max is null and tgt.ndspcii_max  is null ) then 1 else 0 end) ndspcii_max_count,
count(src.cntr_contract_id)-sum(case when (src.max_bnkg_beh_score = tgt.max_bnkg_beh_score) or (src.max_bnkg_beh_score is null and tgt.max_bnkg_beh_score  is null ) then 1 else 0 end) max_bnkg_beh_score_count,
count(src.cntr_contract_id)-sum(case when (src.maturity_days = tgt.maturity_days) or (src.maturity_days is null and tgt.maturity_days  is null ) then 1 else 0 end) maturity_days_count,
count(src.cntr_contract_id)-sum(case when (src.current_net_balance = tgt.current_net_balance) or (src.current_net_balance is null and tgt.current_net_balance  is null ) then 1 else 0 end) current_net_balance_count,
count(src.cntr_contract_id)-sum(case when (src.application_score_id = tgt.application_score_id) or (src.application_score_id is null and tgt.application_score_id  is null ) then 1 else 0 end) application_score_id_count,
count(src.cntr_contract_id)-sum(case when (src.loan_term = tgt.loan_term) or (src.loan_term is null and tgt.loan_term  is null ) then 1 else 0 end) loan_term_count,
count(src.cntr_contract_id)-sum(case when (src.original_loan_amt = tgt.original_loan_amt) or (src.original_loan_amt is null and tgt.original_loan_amt  is null ) then 1 else 0 end) original_loan_amt_count,
count(src.cntr_contract_id)-sum(case when (src.original_repayment_amt = tgt.original_repayment_amt) or (src.original_repayment_amt is null and tgt.original_repayment_amt  is null ) then 1 else 0 end) original_repayment_amt_count,
count(src.cntr_contract_id)-sum(case when (src.installments_in_arrears = tgt.installments_in_arrears) or (src.installments_in_arrears is null and tgt.installments_in_arrears  is null ) then 1 else 0 end) installments_in_arrears_count,
count(src.cntr_contract_id)-sum(case when (src.worst_mths_arrears_l12m = tgt.worst_mths_arrears_l12m) or (src.worst_mths_arrears_l12m is null and tgt.worst_mths_arrears_l12m  is null ) then 1 else 0 end) worst_mths_arrears_l12m_count,
count(src.cntr_contract_id)-sum(case when (src.days_past_due_mnths = tgt.days_past_due_mnths) or (src.days_past_due_mnths is null and tgt.days_past_due_mnths  is null ) then 1 else 0 end) days_past_due_mnths_count,
count(src.cntr_contract_id)-sum(case when (src.mths_since_last_arrears_imd = tgt.mths_since_last_arrears_imd) or (src.mths_since_last_arrears_imd is null and tgt.mths_since_last_arrears_imd  is null ) then 1 else 0 end) mths_since_last_arrears_imd_count,
count(src.cntr_contract_id)-sum(case when (src.worst_mths_arrears_l12m_imd = tgt.worst_mths_arrears_l12m_imd) or (src.worst_mths_arrears_l12m_imd is null and tgt.worst_mths_arrears_l12m_imd  is null ) then 1 else 0 end) worst_mths_arrears_l12m_imd_count,
count(src.cntr_contract_id)-sum(case when (src.arrears_history_cde = tgt.arrears_history_cde) or (src.arrears_history_cde is null and tgt.arrears_history_cde  is null ) then 1 else 0 end) arrears_history_cde_count,
count(src.cntr_contract_id)-sum(case when (src.application_score = tgt.application_score) or (src.application_score is null and tgt.application_score  is null ) then 1 else 0 end) application_score_count,
count(src.cntr_contract_id)-sum(case when (src.application_input_date = tgt.application_input_date) or (src.application_input_date is null and tgt.application_input_date  is null ) then 1 else 0 end) application_input_date_count,
count(src.cntr_contract_id)-sum(case when (src.status_dual = tgt.status_dual) or (src.status_dual is null and tgt.status_dual  is null ) then 1 else 0 end) status_dual_count,
count(src.cntr_contract_id)-sum(case when (src.worst_status_l12m_dual = tgt.worst_status_l12m_dual) or (src.worst_status_l12m_dual is null and tgt.worst_status_l12m_dual  is null ) then 1 else 0 end) worst_status_l12m_dual_count,
count(src.cntr_contract_id)-sum(case when (src.in_arrears_l12m = tgt.in_arrears_l12m) or (src.in_arrears_l12m is null and tgt.in_arrears_l12m  is null ) then 1 else 0 end) in_arrears_l12m_count,
count(src.cntr_contract_id)-sum(case when (src.risk_score = tgt.risk_score) or (src.risk_score is null and tgt.risk_score  is null ) then 1 else 0 end) risk_score_count,
count(src.cntr_contract_id)-sum(case when (src.risk_scorecard_id = tgt.risk_scorecard_id) or (src.risk_scorecard_id is null and tgt.risk_scorecard_id  is null ) then 1 else 0 end) risk_scorecard_id_count,
count(src.cntr_contract_id)-sum(case when (src.curr_calc_instm_down_qty = tgt.curr_calc_instm_down_qty) or (src.curr_calc_instm_down_qty is null and tgt.curr_calc_instm_down_qty  is null ) then 1 else 0 end) curr_calc_instm_down_qty_count,
count(src.cntr_contract_id)-sum(case when (src.orig_calc_instlm_down_qty = tgt.orig_calc_instlm_down_qty) or (src.orig_calc_instlm_down_qty is null and tgt.orig_calc_instlm_down_qty  is null ) then 1 else 0 end) orig_calc_instlm_down_qty_count,
count(src.cntr_contract_id)-sum(case when (src.mnths_remaining_term = tgt.mnths_remaining_term) or (src.mnths_remaining_term is null and tgt.mnths_remaining_term  is null ) then 1 else 0 end) mnths_remaining_term_count,
count(src.cntr_contract_id)-sum(case when (src.on_balance_sheet_exposure = tgt.on_balance_sheet_exposure) or (src.on_balance_sheet_exposure is null and tgt.on_balance_sheet_exposure  is null ) then 1 else 0 end) on_balance_sheet_exposure_count,
count(src.cntr_contract_id)-sum(case when (src.cur_orig_bal_ratio = tgt.cur_orig_bal_ratio) or (src.cur_orig_bal_ratio is null and tgt.cur_orig_bal_ratio  is null ) then 1 else 0 end) cur_orig_bal_ratio_count,
count(src.cntr_contract_id)-sum(case when (src.change_in_arrears_l3m = tgt.change_in_arrears_l3m) or (src.change_in_arrears_l3m is null and tgt.change_in_arrears_l3m  is null ) then 1 else 0 end) change_in_arrears_l3m_count,
count(src.cntr_contract_id)-sum(case when (src.maximum_arrears_l12m = tgt.maximum_arrears_l12m) or (src.maximum_arrears_l12m is null and tgt.maximum_arrears_l12m  is null ) then 1 else 0 end) maximum_arrears_l12m_count,
count(src.cntr_contract_id)-sum(case when (src.interest_rate = tgt.interest_rate) or (src.interest_rate is null and tgt.interest_rate  is null ) then 1 else 0 end) interest_rate_count,
count(src.cntr_contract_id)-sum(case when (src.status_irb2 = tgt.status_irb2) or (src.status_irb2 is null and tgt.status_irb2  is null ) then 1 else 0 end) status_irb2_count,
count(src.cntr_contract_id)-sum(case when (src.arrears_history_cde_irb2 = tgt.arrears_history_cde_irb2) or (src.arrears_history_cde_irb2 is null and tgt.arrears_history_cde_irb2  is null ) then 1 else 0 end) arrears_history_cde_irb2_count,
count(src.cntr_contract_id)-sum(case when (src.date_processed = tgt.date_processed) or (src.date_processed is null and tgt.date_processed  is null ) then 1 else 0 end) date_processed_count,
count(src.cntr_contract_id)-sum(case when (src.audt_execution_version = tgt.audt_execution_version) or (src.audt_execution_version is null and tgt.audt_execution_version  is null ) then 1 else 0 end) audt_execution_version_count
from
(select * from prod_retail_capital_enriched.main_upl_driver
where date_processed='2024-12-31' and audt_execution_version='ACM2') src
full outer join
(select * from prod_retail_capital_enriched.main_upl_driver
where date_processed='2024-12-31' and audt_execution_version='MCM7') tgt
on src.cntr_contract_id = tgt.cntr_contract_id and src.contract_source_system = tgt.contract_source_system
group by tgt.date_processed, tgt.audt_execution_version;</t>
  </si>
  <si>
    <t>Logic testing is as expected, rerunning is causing the difference</t>
  </si>
  <si>
    <t>Comparing with Prod data</t>
  </si>
  <si>
    <t>interest_rate</t>
  </si>
  <si>
    <t>select 
tgt.date_processed, 
tgt.audt_execution_version,
count(*),
count(case when src.interest_rate= tgt.interest_rate then 1 end ) as match,
count(case when src.interest_rate&lt;&gt; tgt.interest_rate then 1 end ) as NO_match,
count(case when src.interest_rate is null and  tgt.interest_rate is null then 1 end ) as both_null,
count(case when src.interest_rate is null and  tgt.interest_rate is not null then 1 end ) as src_is_null_test_is_not_null,
count(case when src.interest_rate is not null and  tgt.interest_rate is null then 1 end ) as src_is_not_null_test_is_null
from
(select * from prod_retail_capital_enriched.main_upl_driver
where date_processed='2024-12-31' and audt_execution_version='ACM2') src
full outer join
(select * from prod_retail_capital_enriched.main_upl_driver
where date_processed='2024-12-31' and audt_execution_version='MCM7') tgt
on src.cntr_contract_id = tgt.cntr_contract_id and src.contract_source_system = tgt.contract_source_system
group by tgt.date_processed, tgt.audt_execution_version;</t>
  </si>
  <si>
    <t>src_is_null_test_is_not_null</t>
  </si>
  <si>
    <t>src_is_not_null_test_is_null</t>
  </si>
  <si>
    <t>Difference</t>
  </si>
  <si>
    <t>select 
src.cntr_contract_id, src.contract_source_system, src.interest_rate as prod_interest_rate, tgt.interest_rate as test_interest_rate
from
(select * from prod_retail_capital_enriched.main_upl_driver
where date_processed='2024-12-31' and audt_execution_version='ACM2') src
full outer join
(select * from prod_retail_capital_enriched.main_upl_driver
where date_processed='2024-12-31' and audt_execution_version='MCM7') tgt
on src.cntr_contract_id = tgt.cntr_contract_id and src.contract_source_system = tgt.contract_source_system
where src.interest_rate&lt;&gt; tgt.interest_rate</t>
  </si>
  <si>
    <t>cntr_contract_id</t>
  </si>
  <si>
    <t>contract_source_system</t>
  </si>
  <si>
    <t>prod_interest_rate</t>
  </si>
  <si>
    <t>test_interest_rate</t>
  </si>
  <si>
    <t>001552761430598665</t>
  </si>
  <si>
    <t>8.56600000</t>
  </si>
  <si>
    <t>8.55600000</t>
  </si>
  <si>
    <t>select 
date_processed, 
audt_execution_version,
count(*),
count(case when interest_rate= interest_rate_test then 1 end ) as match,
count(case when interest_rate&lt;&gt; interest_rate_test then 1 end ) as NO_match,
count(case when interest_rate is null and  interest_rate_test is null then 1 end ) as both_null,
count(case when interest_rate is null and  interest_rate_test is not null then 1 end ) as src_is_null_test_is_not_null,
count(case when interest_rate is not null and  interest_rate_test is null then 1 end ) as src_is_not_null_test_is_null
from
(select drv.date_processed, drv.audt_execution_version, interest_rate, coalesce(preso_tasa,0) as interest_rate_test from
(select * from prod_retail_capital_enriched.main_upl_driver
where date_processed = '2024-12-31' and audt_execution_version='MCM7')drv
left outer join
(select * from
(select *, row_number() over(partition by contract_id order by contract_id, date_processed, preso_fecmodf desc) as r_num from
(select distinct 
concat(preso_idempr,preso_cdcentr,preso_idprod,preso_idcontr) as contract_id, 
round(preso_tasa,3) as preso_tasa, 
preso_fecmodf, date_processed 
from prod_retail_loans.prepart_prestam_partitions
where date_processed = '2024-12-31' and
preso_fefinval&gt; '2024-12-31' and  preso_fecomval &lt;= '2024-12-31' and 
preso_tasa is not null and preso_tasa !=0) input1 ) input2
where r_num = 1) input3
on drv.cntr_contract_id = input3.contract_id) final
group by date_processed, audt_execution_version;</t>
  </si>
  <si>
    <t>select 
date_processed, 
audt_execution_version,
count(*),
count(case when application_score_ecb= application_score_ecb_test then 1 end ) as match,
count(case when application_score_ecb&lt;&gt; application_score_ecb_test then 1 end ) as NO_match,
count(case when application_score_ecb is null and  application_score_ecb_test is null then 1 end ) as both_null,
count(case when application_score_ecb is null and  application_score_ecb_test is not null then 1 end ) as src_is_null_test_is_not_null,
count(case when application_score_ecb is not null and  application_score_ecb_test is null then 1 end ) as src_is_not_null_test_is_null
from
(select src.*, 
case when alp.risk_score is null or length(alp.risk_score) = 0 then 0 else cast(alp.risk_score as decimal) end as application_score_ecb_test 
from
(select * from prod_retail_capital_enriched.main_upl_driver
where date_processed='2024-12-31' and audt_execution_version='MCM7') src
left outer join
(select * from prod_retail_contracts_enriched.application_loan_partitions
where date_processed = '2024-12-31' and source_system = 'PARTENON_RETAIL') alp
on src.cntr_contract_id = alp.contract_id) srcalp
group by date_processed, audt_execution_version;</t>
  </si>
  <si>
    <t>select 
date_processed, 
audt_execution_version,
count(*),
count(case when application_score_id_ecb= application_score_id_ecb_test then 1 end ) as match,
count(case when application_score_id_ecb&lt;&gt; application_score_id_ecb_test then 1 end ) as NO_match,
count(case when application_score_id_ecb is null and  application_score_id_ecb_test is null then 1 end ) as both_null,
count(case when application_score_id_ecb is null and  application_score_id_ecb_test is not null then 1 end ) as src_is_null_test_is_not_null,
count(case when application_score_id_ecb is not null and  application_score_id_ecb_test is null then 1 end ) as src_is_not_null_test_is_null
from
(select src.*, 
case when alp.risk_scorecard_id is null or length(alp.risk_scorecard_id) = 0 then 0 
else cast(alp.risk_scorecard_id as decimal) end as application_score_id_ecb_test 
from
(select * from prod_retail_capital_enriched.main_upl_driver
where date_processed='2024-12-31' and audt_execution_version='MCM7') src
left outer join
(select * from prod_retail_contracts_enriched.application_loan_partitions
where date_processed = '2024-12-31' and source_system = 'PARTENON_RETAIL') alp
on src.cntr_contract_id = alp.contract_id) srcalp
group by date_processed, audt_execution_version;</t>
  </si>
  <si>
    <t>T09 - prod_retail_capital_enriched.upl_bh_score_model_partitions regression after adding partiton in pre</t>
  </si>
  <si>
    <t>ECB</t>
  </si>
  <si>
    <t>model</t>
  </si>
  <si>
    <t>prod null exp not null contract_source_system</t>
  </si>
  <si>
    <t>prod not null exp null contract_source_system</t>
  </si>
  <si>
    <t>match arrears_balance_amt</t>
  </si>
  <si>
    <t>no match arrears_balance_amt</t>
  </si>
  <si>
    <t>prod null exp not null arrears_balance_amt</t>
  </si>
  <si>
    <t>prod not null exp null arrears_balance_amt</t>
  </si>
  <si>
    <t>match cad_12m_count</t>
  </si>
  <si>
    <t>no match cad_12m_count</t>
  </si>
  <si>
    <t>prod null exp not null cad_12m_count</t>
  </si>
  <si>
    <t>prod not null exp null cad_12m_count</t>
  </si>
  <si>
    <t>match cai_1m_flag</t>
  </si>
  <si>
    <t>no match cai_1m_flag</t>
  </si>
  <si>
    <t>prod null exp not null cai_1m_flag</t>
  </si>
  <si>
    <t>prod not null exp null cai_1m_flag</t>
  </si>
  <si>
    <t>match cust_age_max</t>
  </si>
  <si>
    <t>no match cust_age_max</t>
  </si>
  <si>
    <t>prod null exp not null cust_age_max</t>
  </si>
  <si>
    <t>prod not null exp null cust_age_max</t>
  </si>
  <si>
    <t>match loan_term</t>
  </si>
  <si>
    <t>no match loan_term</t>
  </si>
  <si>
    <t>prod null exp not null loan_term</t>
  </si>
  <si>
    <t>prod not null exp null loan_term</t>
  </si>
  <si>
    <t>match mnths_remaining_term</t>
  </si>
  <si>
    <t>no match mnths_remaining_term</t>
  </si>
  <si>
    <t>prod null exp not null mnths_remaining_term</t>
  </si>
  <si>
    <t>prod not null exp null mnths_remaining_term</t>
  </si>
  <si>
    <t>match original_loan_amt</t>
  </si>
  <si>
    <t>no match original_loan_amt</t>
  </si>
  <si>
    <t>prod null exp not null original_loan_amt</t>
  </si>
  <si>
    <t>prod not null exp null original_loan_amt</t>
  </si>
  <si>
    <t>match period_end_balance_amt</t>
  </si>
  <si>
    <t>no match period_end_balance_amt</t>
  </si>
  <si>
    <t>prod null exp not null period_end_balance_amt</t>
  </si>
  <si>
    <t>prod not null exp null period_end_balance_amt</t>
  </si>
  <si>
    <t>match pra_daily_dpd_upg</t>
  </si>
  <si>
    <t>no match pra_daily_dpd_upg</t>
  </si>
  <si>
    <t>prod null exp not null pra_daily_dpd_upg</t>
  </si>
  <si>
    <t>prod not null exp null pra_daily_dpd_upg</t>
  </si>
  <si>
    <t>match pra_mia</t>
  </si>
  <si>
    <t>no match pra_mia</t>
  </si>
  <si>
    <t>prod null exp not null pra_mia</t>
  </si>
  <si>
    <t>prod not null exp null pra_mia</t>
  </si>
  <si>
    <t>match single_joint_holder_ind</t>
  </si>
  <si>
    <t>no match single_joint_holder_ind</t>
  </si>
  <si>
    <t>prod null exp not null single_joint_holder_ind</t>
  </si>
  <si>
    <t>prod not null exp null single_joint_holder_ind</t>
  </si>
  <si>
    <t>match gg_max</t>
  </si>
  <si>
    <t>no match gg_max</t>
  </si>
  <si>
    <t>prod null exp not null gg_max</t>
  </si>
  <si>
    <t>prod not null exp null gg_max</t>
  </si>
  <si>
    <t>match hn_min</t>
  </si>
  <si>
    <t>no match hn_min</t>
  </si>
  <si>
    <t>prod null exp not null hn_min</t>
  </si>
  <si>
    <t>prod not null exp null hn_min</t>
  </si>
  <si>
    <t>match mhc_max</t>
  </si>
  <si>
    <t>no match mhc_max</t>
  </si>
  <si>
    <t>prod null exp not null mhc_max</t>
  </si>
  <si>
    <t>prod not null exp null mhc_max</t>
  </si>
  <si>
    <t>match seb_max</t>
  </si>
  <si>
    <t>no match seb_max</t>
  </si>
  <si>
    <t>prod null exp not null seb_max</t>
  </si>
  <si>
    <t>prod not null exp null seb_max</t>
  </si>
  <si>
    <t>match shc_min</t>
  </si>
  <si>
    <t>no match shc_min</t>
  </si>
  <si>
    <t>prod null exp not null shc_min</t>
  </si>
  <si>
    <t>prod not null exp null shc_min</t>
  </si>
  <si>
    <t>match xm_max</t>
  </si>
  <si>
    <t>no match xm_max</t>
  </si>
  <si>
    <t>prod null exp not null xm_max</t>
  </si>
  <si>
    <t>prod not null exp null xm_max</t>
  </si>
  <si>
    <t>match e1a03sp_min</t>
  </si>
  <si>
    <t>no match e1a03sp_min</t>
  </si>
  <si>
    <t>prod null exp not null e1a03sp_min</t>
  </si>
  <si>
    <t>prod not null exp null e1a03sp_min</t>
  </si>
  <si>
    <t>match e1a06sp_min</t>
  </si>
  <si>
    <t>no match e1a06sp_min</t>
  </si>
  <si>
    <t>prod null exp not null e1a06sp_min</t>
  </si>
  <si>
    <t>prod not null exp null e1a06sp_min</t>
  </si>
  <si>
    <t>match e1a09sp_max</t>
  </si>
  <si>
    <t>no match e1a09sp_max</t>
  </si>
  <si>
    <t>prod null exp not null e1a09sp_max</t>
  </si>
  <si>
    <t>prod not null exp null e1a09sp_max</t>
  </si>
  <si>
    <t>match e1b07sp_max</t>
  </si>
  <si>
    <t>no match e1b07sp_max</t>
  </si>
  <si>
    <t>prod null exp not null e1b07sp_max</t>
  </si>
  <si>
    <t>prod not null exp null e1b07sp_max</t>
  </si>
  <si>
    <t>match e1b10sp_min</t>
  </si>
  <si>
    <t>no match e1b10sp_min</t>
  </si>
  <si>
    <t>prod null exp not null e1b10sp_min</t>
  </si>
  <si>
    <t>prod not null exp null e1b10sp_min</t>
  </si>
  <si>
    <t>match e1b13sp_max</t>
  </si>
  <si>
    <t>no match e1b13sp_max</t>
  </si>
  <si>
    <t>prod null exp not null e1b13sp_max</t>
  </si>
  <si>
    <t>prod not null exp null e1b13sp_max</t>
  </si>
  <si>
    <t>match e1e02sp_max</t>
  </si>
  <si>
    <t>no match e1e02sp_max</t>
  </si>
  <si>
    <t>prod null exp not null e1e02sp_max</t>
  </si>
  <si>
    <t>prod not null exp null e1e02sp_max</t>
  </si>
  <si>
    <t>match e2g11spa_max</t>
  </si>
  <si>
    <t>no match e2g11spa_max</t>
  </si>
  <si>
    <t>prod null exp not null e2g11spa_max</t>
  </si>
  <si>
    <t>prod not null exp null e2g11spa_max</t>
  </si>
  <si>
    <t>match ea1d01sp_max</t>
  </si>
  <si>
    <t>no match ea1d01sp_max</t>
  </si>
  <si>
    <t>prod null exp not null ea1d01sp_max</t>
  </si>
  <si>
    <t>prod not null exp null ea1d01sp_max</t>
  </si>
  <si>
    <t>match ea1e02sp_max</t>
  </si>
  <si>
    <t>no match ea1e02sp_max</t>
  </si>
  <si>
    <t>prod null exp not null ea1e02sp_max</t>
  </si>
  <si>
    <t>prod not null exp null ea1e02sp_max</t>
  </si>
  <si>
    <t>match ndecc02sp_max</t>
  </si>
  <si>
    <t>no match ndecc02sp_max</t>
  </si>
  <si>
    <t>prod null exp not null ndecc02sp_max</t>
  </si>
  <si>
    <t>prod not null exp null ndecc02sp_max</t>
  </si>
  <si>
    <t>match ndecc07sp_min</t>
  </si>
  <si>
    <t>no match ndecc07sp_min</t>
  </si>
  <si>
    <t>prod null exp not null ndecc07sp_min</t>
  </si>
  <si>
    <t>prod not null exp null ndecc07sp_min</t>
  </si>
  <si>
    <t>match ndhac09sp_max</t>
  </si>
  <si>
    <t>no match ndhac09sp_max</t>
  </si>
  <si>
    <t>prod null exp not null ndhac09sp_max</t>
  </si>
  <si>
    <t>prod not null exp null ndhac09sp_max</t>
  </si>
  <si>
    <t>match avg_num_days_exc_l3m_max</t>
  </si>
  <si>
    <t>no match avg_num_days_exc_l3m_max</t>
  </si>
  <si>
    <t>prod null exp not null avg_num_days_exc_l3m_max</t>
  </si>
  <si>
    <t>prod not null exp null avg_num_days_exc_l3m_max</t>
  </si>
  <si>
    <t>match min_max_bal_l12m_max</t>
  </si>
  <si>
    <t>no match min_max_bal_l12m_max</t>
  </si>
  <si>
    <t>prod null exp not null min_max_bal_l12m_max</t>
  </si>
  <si>
    <t>prod not null exp null min_max_bal_l12m_max</t>
  </si>
  <si>
    <t>match ratio_bal_cto_max</t>
  </si>
  <si>
    <t>no match ratio_bal_cto_max</t>
  </si>
  <si>
    <t>prod null exp not null ratio_bal_cto_max</t>
  </si>
  <si>
    <t>prod not null exp null ratio_bal_cto_max</t>
  </si>
  <si>
    <t>match avg_netpay_nonbt_l6m_max</t>
  </si>
  <si>
    <t>no match avg_netpay_nonbt_l6m_max</t>
  </si>
  <si>
    <t>prod null exp not null avg_netpay_nonbt_l6m_max</t>
  </si>
  <si>
    <t>prod not null exp null avg_netpay_nonbt_l6m_max</t>
  </si>
  <si>
    <t>match max_cshbal_util_l4m_min</t>
  </si>
  <si>
    <t>no match max_cshbal_util_l4m_min</t>
  </si>
  <si>
    <t>prod null exp not null max_cshbal_util_l4m_min</t>
  </si>
  <si>
    <t>prod not null exp null max_cshbal_util_l4m_min</t>
  </si>
  <si>
    <t>match max_avg_savbal_l6m_max</t>
  </si>
  <si>
    <t>no match max_avg_savbal_l6m_max</t>
  </si>
  <si>
    <t>prod null exp not null max_avg_savbal_l6m_max</t>
  </si>
  <si>
    <t>prod not null exp null max_avg_savbal_l6m_max</t>
  </si>
  <si>
    <t>match max_num_days_exc_l3m_max</t>
  </si>
  <si>
    <t>no match max_num_days_exc_l3m_max</t>
  </si>
  <si>
    <t>prod null exp not null max_num_days_exc_l3m_max</t>
  </si>
  <si>
    <t>prod not null exp null max_num_days_exc_l3m_max</t>
  </si>
  <si>
    <t>match unpaid_bill_count_max</t>
  </si>
  <si>
    <t>no match unpaid_bill_count_max</t>
  </si>
  <si>
    <t>prod null exp not null unpaid_bill_count_max</t>
  </si>
  <si>
    <t>prod not null exp null unpaid_bill_count_max</t>
  </si>
  <si>
    <t>match billed_bal_min</t>
  </si>
  <si>
    <t>no match billed_bal_min</t>
  </si>
  <si>
    <t>prod null exp not null billed_bal_min</t>
  </si>
  <si>
    <t>prod not null exp null billed_bal_min</t>
  </si>
  <si>
    <t>match sw_min_max_bal_l12m_max</t>
  </si>
  <si>
    <t>no match sw_min_max_bal_l12m_max</t>
  </si>
  <si>
    <t>prod null exp not null sw_min_max_bal_l12m_max</t>
  </si>
  <si>
    <t>prod not null exp null sw_min_max_bal_l12m_max</t>
  </si>
  <si>
    <t>match sw_avg_num_days_exc_l3m_max</t>
  </si>
  <si>
    <t>no match sw_avg_num_days_exc_l3m_max</t>
  </si>
  <si>
    <t>prod null exp not null sw_avg_num_days_exc_l3m_max</t>
  </si>
  <si>
    <t>prod not null exp null sw_avg_num_days_exc_l3m_max</t>
  </si>
  <si>
    <t>match sw_ratio_bal_cto_max</t>
  </si>
  <si>
    <t>no match sw_ratio_bal_cto_max</t>
  </si>
  <si>
    <t>prod null exp not null sw_ratio_bal_cto_max</t>
  </si>
  <si>
    <t>prod not null exp null sw_ratio_bal_cto_max</t>
  </si>
  <si>
    <t>match sw_single_joint_holder_ind</t>
  </si>
  <si>
    <t>no match sw_single_joint_holder_ind</t>
  </si>
  <si>
    <t>prod null exp not null sw_single_joint_holder_ind</t>
  </si>
  <si>
    <t>prod not null exp null sw_single_joint_holder_ind</t>
  </si>
  <si>
    <t>match sw_cad_12m_count</t>
  </si>
  <si>
    <t>no match sw_cad_12m_count</t>
  </si>
  <si>
    <t>prod null exp not null sw_cad_12m_count</t>
  </si>
  <si>
    <t>prod not null exp null sw_cad_12m_count</t>
  </si>
  <si>
    <t>match sw_e1b10sp_min</t>
  </si>
  <si>
    <t>no match sw_e1b10sp_min</t>
  </si>
  <si>
    <t>prod null exp not null sw_e1b10sp_min</t>
  </si>
  <si>
    <t>prod not null exp null sw_e1b10sp_min</t>
  </si>
  <si>
    <t>match sw_e1e02sp_max</t>
  </si>
  <si>
    <t>no match sw_e1e02sp_max</t>
  </si>
  <si>
    <t>prod null exp not null sw_e1e02sp_max</t>
  </si>
  <si>
    <t>prod not null exp null sw_e1e02sp_max</t>
  </si>
  <si>
    <t>match sw_ndecc02sp_max</t>
  </si>
  <si>
    <t>no match sw_ndecc02sp_max</t>
  </si>
  <si>
    <t>prod null exp not null sw_ndecc02sp_max</t>
  </si>
  <si>
    <t>prod not null exp null sw_ndecc02sp_max</t>
  </si>
  <si>
    <t>match sw_ndecc07sp_min</t>
  </si>
  <si>
    <t>no match sw_ndecc07sp_min</t>
  </si>
  <si>
    <t>prod null exp not null sw_ndecc07sp_min</t>
  </si>
  <si>
    <t>prod not null exp null sw_ndecc07sp_min</t>
  </si>
  <si>
    <t>match sw_gg_max</t>
  </si>
  <si>
    <t>no match sw_gg_max</t>
  </si>
  <si>
    <t>prod null exp not null sw_gg_max</t>
  </si>
  <si>
    <t>prod not null exp null sw_gg_max</t>
  </si>
  <si>
    <t>match sw_hn_min</t>
  </si>
  <si>
    <t>no match sw_hn_min</t>
  </si>
  <si>
    <t>prod null exp not null sw_hn_min</t>
  </si>
  <si>
    <t>prod not null exp null sw_hn_min</t>
  </si>
  <si>
    <t>match sw_seb_max</t>
  </si>
  <si>
    <t>no match sw_seb_max</t>
  </si>
  <si>
    <t>prod null exp not null sw_seb_max</t>
  </si>
  <si>
    <t>prod not null exp null sw_seb_max</t>
  </si>
  <si>
    <t>match sw_mhc_max</t>
  </si>
  <si>
    <t>no match sw_mhc_max</t>
  </si>
  <si>
    <t>prod null exp not null sw_mhc_max</t>
  </si>
  <si>
    <t>prod not null exp null sw_mhc_max</t>
  </si>
  <si>
    <t>match sw_shc_min</t>
  </si>
  <si>
    <t>no match sw_shc_min</t>
  </si>
  <si>
    <t>prod null exp not null sw_shc_min</t>
  </si>
  <si>
    <t>prod not null exp null sw_shc_min</t>
  </si>
  <si>
    <t>match sw_max_avg_savbal_l6m_max</t>
  </si>
  <si>
    <t>no match sw_max_avg_savbal_l6m_max</t>
  </si>
  <si>
    <t>prod null exp not null sw_max_avg_savbal_l6m_max</t>
  </si>
  <si>
    <t>prod not null exp null sw_max_avg_savbal_l6m_max</t>
  </si>
  <si>
    <t>match sw_max_cshbal_util_l4m_min</t>
  </si>
  <si>
    <t>no match sw_max_cshbal_util_l4m_min</t>
  </si>
  <si>
    <t>prod null exp not null sw_max_cshbal_util_l4m_min</t>
  </si>
  <si>
    <t>prod not null exp null sw_max_cshbal_util_l4m_min</t>
  </si>
  <si>
    <t>match sw_avg_netpay_nonbt_l6m_max</t>
  </si>
  <si>
    <t>no match sw_avg_netpay_nonbt_l6m_max</t>
  </si>
  <si>
    <t>prod null exp not null sw_avg_netpay_nonbt_l6m_max</t>
  </si>
  <si>
    <t>prod not null exp null sw_avg_netpay_nonbt_l6m_max</t>
  </si>
  <si>
    <t>match sw_mnths_remaining_term</t>
  </si>
  <si>
    <t>no match sw_mnths_remaining_term</t>
  </si>
  <si>
    <t>prod null exp not null sw_mnths_remaining_term</t>
  </si>
  <si>
    <t>prod not null exp null sw_mnths_remaining_term</t>
  </si>
  <si>
    <t>match sw_loan_term_amount_group</t>
  </si>
  <si>
    <t>no match sw_loan_term_amount_group</t>
  </si>
  <si>
    <t>prod null exp not null sw_loan_term_amount_group</t>
  </si>
  <si>
    <t>prod not null exp null sw_loan_term_amount_group</t>
  </si>
  <si>
    <t>match uw_max_num_days_exc_l3m_max</t>
  </si>
  <si>
    <t>no match uw_max_num_days_exc_l3m_max</t>
  </si>
  <si>
    <t>prod null exp not null uw_max_num_days_exc_l3m_max</t>
  </si>
  <si>
    <t>prod not null exp null uw_max_num_days_exc_l3m_max</t>
  </si>
  <si>
    <t>match uw_ratio_bal_cto_max</t>
  </si>
  <si>
    <t>no match uw_ratio_bal_cto_max</t>
  </si>
  <si>
    <t>prod null exp not null uw_ratio_bal_cto_max</t>
  </si>
  <si>
    <t>prod not null exp null uw_ratio_bal_cto_max</t>
  </si>
  <si>
    <t>match uw_cust_age_max</t>
  </si>
  <si>
    <t>no match uw_cust_age_max</t>
  </si>
  <si>
    <t>prod null exp not null uw_cust_age_max</t>
  </si>
  <si>
    <t>prod not null exp null uw_cust_age_max</t>
  </si>
  <si>
    <t>match uw_cai_1m_flag</t>
  </si>
  <si>
    <t>no match uw_cai_1m_flag</t>
  </si>
  <si>
    <t>prod null exp not null uw_cai_1m_flag</t>
  </si>
  <si>
    <t>prod not null exp null uw_cai_1m_flag</t>
  </si>
  <si>
    <t>match uw_pra_daily_dpd_upg</t>
  </si>
  <si>
    <t>no match uw_pra_daily_dpd_upg</t>
  </si>
  <si>
    <t>prod null exp not null uw_pra_daily_dpd_upg</t>
  </si>
  <si>
    <t>prod not null exp null uw_pra_daily_dpd_upg</t>
  </si>
  <si>
    <t>match uw_e1a06sp_min</t>
  </si>
  <si>
    <t>no match uw_e1a06sp_min</t>
  </si>
  <si>
    <t>prod null exp not null uw_e1a06sp_min</t>
  </si>
  <si>
    <t>prod not null exp null uw_e1a06sp_min</t>
  </si>
  <si>
    <t>match uw_e1a09sp_max</t>
  </si>
  <si>
    <t>no match uw_e1a09sp_max</t>
  </si>
  <si>
    <t>prod null exp not null uw_e1a09sp_max</t>
  </si>
  <si>
    <t>prod not null exp null uw_e1a09sp_max</t>
  </si>
  <si>
    <t>match uw_e1b10sp_min</t>
  </si>
  <si>
    <t>no match uw_e1b10sp_min</t>
  </si>
  <si>
    <t>prod null exp not null uw_e1b10sp_min</t>
  </si>
  <si>
    <t>prod not null exp null uw_e1b10sp_min</t>
  </si>
  <si>
    <t>match uw_e1b13sp_max</t>
  </si>
  <si>
    <t>no match uw_e1b13sp_max</t>
  </si>
  <si>
    <t>prod null exp not null uw_e1b13sp_max</t>
  </si>
  <si>
    <t>prod not null exp null uw_e1b13sp_max</t>
  </si>
  <si>
    <t>match uw_e2g11spa_max</t>
  </si>
  <si>
    <t>no match uw_e2g11spa_max</t>
  </si>
  <si>
    <t>prod null exp not null uw_e2g11spa_max</t>
  </si>
  <si>
    <t>prod not null exp null uw_e2g11spa_max</t>
  </si>
  <si>
    <t>match uw_ea1d01sp_max</t>
  </si>
  <si>
    <t>no match uw_ea1d01sp_max</t>
  </si>
  <si>
    <t>prod null exp not null uw_ea1d01sp_max</t>
  </si>
  <si>
    <t>prod not null exp null uw_ea1d01sp_max</t>
  </si>
  <si>
    <t>match uw_ea1e02sp_max</t>
  </si>
  <si>
    <t>no match uw_ea1e02sp_max</t>
  </si>
  <si>
    <t>prod null exp not null uw_ea1e02sp_max</t>
  </si>
  <si>
    <t>prod not null exp null uw_ea1e02sp_max</t>
  </si>
  <si>
    <t>match uw_ndhac09sp_max</t>
  </si>
  <si>
    <t>no match uw_ndhac09sp_max</t>
  </si>
  <si>
    <t>prod null exp not null uw_ndhac09sp_max</t>
  </si>
  <si>
    <t>prod not null exp null uw_ndhac09sp_max</t>
  </si>
  <si>
    <t>match uw_shc_min</t>
  </si>
  <si>
    <t>no match uw_shc_min</t>
  </si>
  <si>
    <t>prod null exp not null uw_shc_min</t>
  </si>
  <si>
    <t>prod not null exp null uw_shc_min</t>
  </si>
  <si>
    <t>match uw_xm_max</t>
  </si>
  <si>
    <t>no match uw_xm_max</t>
  </si>
  <si>
    <t>prod null exp not null uw_xm_max</t>
  </si>
  <si>
    <t>prod not null exp null uw_xm_max</t>
  </si>
  <si>
    <t>match uw_max_avg_savbal_l6m_max</t>
  </si>
  <si>
    <t>no match uw_max_avg_savbal_l6m_max</t>
  </si>
  <si>
    <t>prod null exp not null uw_max_avg_savbal_l6m_max</t>
  </si>
  <si>
    <t>prod not null exp null uw_max_avg_savbal_l6m_max</t>
  </si>
  <si>
    <t>match uw_billed_bal_min</t>
  </si>
  <si>
    <t>no match uw_billed_bal_min</t>
  </si>
  <si>
    <t>prod null exp not null uw_billed_bal_min</t>
  </si>
  <si>
    <t>prod not null exp null uw_billed_bal_min</t>
  </si>
  <si>
    <t>match uw_unpaid_bill_count_max</t>
  </si>
  <si>
    <t>no match uw_unpaid_bill_count_max</t>
  </si>
  <si>
    <t>prod null exp not null uw_unpaid_bill_count_max</t>
  </si>
  <si>
    <t>prod not null exp null uw_unpaid_bill_count_max</t>
  </si>
  <si>
    <t>match segment</t>
  </si>
  <si>
    <t>no match segment</t>
  </si>
  <si>
    <t>prod null exp not null segment</t>
  </si>
  <si>
    <t>prod not null exp null segment</t>
  </si>
  <si>
    <t>match bh_score</t>
  </si>
  <si>
    <t>no match bh_score</t>
  </si>
  <si>
    <t>prod null exp not null bh_score</t>
  </si>
  <si>
    <t>prod not null exp null bh_score</t>
  </si>
  <si>
    <t>match term_amount_group</t>
  </si>
  <si>
    <t>no match term_amount_group</t>
  </si>
  <si>
    <t>prod null exp not null term_amount_group</t>
  </si>
  <si>
    <t>prod not null exp null term_amount_group</t>
  </si>
  <si>
    <t>2025-01-07 17:16:39.706</t>
  </si>
  <si>
    <t>2025-06-12 14:05:24.713</t>
  </si>
  <si>
    <t>ACM2</t>
  </si>
  <si>
    <t>PRA</t>
  </si>
  <si>
    <t>2025-06-12 13:50:03.356</t>
  </si>
  <si>
    <t>T10 - prod_retail_capital_enriched.upl_irb2_model_ecb_partitions  regression testing in pre</t>
  </si>
  <si>
    <t>src_cnt</t>
  </si>
  <si>
    <t>tgt_cnt</t>
  </si>
  <si>
    <t>cntr_source_system_count</t>
  </si>
  <si>
    <t>status_count</t>
  </si>
  <si>
    <t>default_ind_count</t>
  </si>
  <si>
    <t>bh_score_count</t>
  </si>
  <si>
    <t>pd_score_count</t>
  </si>
  <si>
    <t>pd_segment_desc_count</t>
  </si>
  <si>
    <t>pd_grade_desc_count</t>
  </si>
  <si>
    <t>pd_leaf_count</t>
  </si>
  <si>
    <t>pd_pre_moc_count</t>
  </si>
  <si>
    <t>lgd_leaf_count</t>
  </si>
  <si>
    <t>lgd_grade_count</t>
  </si>
  <si>
    <t>lgd_dt_pre_moc_count</t>
  </si>
  <si>
    <t>lgd_dt_count</t>
  </si>
  <si>
    <t>lgd_lr_pre_moc_count</t>
  </si>
  <si>
    <t>lgd_lr_count</t>
  </si>
  <si>
    <t>elbe_pre_moc_count</t>
  </si>
  <si>
    <t>elbe_reg_count</t>
  </si>
  <si>
    <t>lgd_eco_count</t>
  </si>
  <si>
    <t>monthly_ir_count</t>
  </si>
  <si>
    <t>ead_eco_count</t>
  </si>
  <si>
    <t>ead_reg_scalar_count</t>
  </si>
  <si>
    <t>ead_eco_scalar_count</t>
  </si>
  <si>
    <t>el_perc_reg_count</t>
  </si>
  <si>
    <t>el_reg_count</t>
  </si>
  <si>
    <t>upl_corr_count</t>
  </si>
  <si>
    <t>rw_perc_reg_count</t>
  </si>
  <si>
    <t>rwa_reg_count</t>
  </si>
  <si>
    <t>capital_reg_count</t>
  </si>
  <si>
    <t>audt_process_status_count</t>
  </si>
  <si>
    <t>2025-06-12 15:15:05.136</t>
  </si>
  <si>
    <t>2025-01-07 17:23:04.001</t>
  </si>
  <si>
    <t>select 
tgt.date_processed, tgt.audt_execution_version, tgt.audt_process_timestamp, src.audt_process_timestamp,
count(src.cntr_contract_id) src_cnt, count(tgt.cntr_contract_id) tgt_cnt,               
count(src.cntr_contract_id)-sum(case when (src.cntr_contract_id = tgt.cntr_contract_id) or (src.cntr_contract_id is null and tgt.cntr_contract_id is null ) then 1 else 0 end) cntr_contract_id_count,
count(src.cntr_contract_id)-sum(case when (src.holding_reference = tgt.holding_reference) or (src.holding_reference is null and tgt.holding_reference is null ) then 1 else 0 end) holding_reference_count,
count(src.cntr_contract_id)-sum(case when (src.cntr_source_system = tgt.cntr_source_system) or (src.cntr_source_system is null and tgt.cntr_source_system is null ) then 1 else 0 end) cntr_source_system_count,
count(src.cntr_contract_id)-sum(case when (src.status = tgt.status) or (src.status is null and tgt.status is null ) then 1 else 0 end) status_count,
count(src.cntr_contract_id)-sum(case when (src.default_ind = tgt.default_ind) or (src.default_ind is null and tgt.default_ind is null ) then 1 else 0 end) default_ind_count,
count(src.cntr_contract_id)-sum(case when (src.bh_score = tgt.bh_score) or (src.bh_score is null and tgt.bh_score is null ) then 1 else 0 end) bh_score_count,
count(src.cntr_contract_id)-sum(case when (src.pd_approach = tgt.pd_approach) or (src.pd_approach is null and tgt.pd_approach is null ) then 1 else 0 end) pd_approach_count,
count(src.cntr_contract_id)-sum(case when (src.pd_score = tgt.pd_score) or (src.pd_score is null and tgt.pd_score is null ) then 1 else 0 end) pd_score_count,
count(src.cntr_contract_id)-sum(case when (src.pd_segment_desc = tgt.pd_segment_desc) or (src.pd_segment_desc is null and tgt.pd_segment_desc is null ) then 1 else 0 end) pd_segment_desc_count,
count(src.cntr_contract_id)-sum(case when (src.pd_grade_desc = tgt.pd_grade_desc) or (src.pd_grade_desc is null and tgt.pd_grade_desc is null ) then 1 else 0 end) pd_grade_desc_count,
count(src.cntr_contract_id)-sum(case when (src.pd_leaf = tgt.pd_leaf) or (src.pd_leaf is null and tgt.pd_leaf is null ) then 1 else 0 end) pd_leaf_count,
count(src.cntr_contract_id)-sum(case when (src.pd_pre_moc = tgt.pd_pre_moc) or (src.pd_pre_moc is null and tgt.pd_pre_moc is null ) then 1 else 0 end) pd_pre_moc_count,
count(src.cntr_contract_id)-sum(case when (src.pd_reg = tgt.pd_reg) or (src.pd_reg is null and tgt.pd_reg is null ) then 1 else 0 end) pd_reg_count,
count(src.cntr_contract_id)-sum(case when (src.lgd_leaf = tgt.lgd_leaf) or (src.lgd_leaf is null and tgt.lgd_leaf is null ) then 1 else 0 end) lgd_leaf_count,
count(src.cntr_contract_id)-sum(case when (src.lgd_grade = tgt.lgd_grade) or (src.lgd_grade is null and tgt.lgd_grade is null ) then 1 else 0 end) lgd_grade_count,
count(src.cntr_contract_id)-sum(case when (src.lgd_dt_pre_moc = tgt.lgd_dt_pre_moc) or (src.lgd_dt_pre_moc is null and tgt.lgd_dt_pre_moc is null ) then 1 else 0 end) lgd_dt_pre_moc_count,
count(src.cntr_contract_id)-sum(case when (src.lgd_dt = tgt.lgd_dt) or (src.lgd_dt is null and tgt.lgd_dt is null ) then 1 else 0 end) lgd_dt_count,
count(src.cntr_contract_id)-sum(case when (src.lgd_lr_pre_moc = tgt.lgd_lr_pre_moc) or (src.lgd_lr_pre_moc is null and tgt.lgd_lr_pre_moc is null ) then 1 else 0 end) lgd_lr_pre_moc_count,
count(src.cntr_contract_id)-sum(case when (src.lgd_lr = tgt.lgd_lr) or (src.lgd_lr is null and tgt.lgd_lr is null ) then 1 else 0 end) lgd_lr_count,
count(src.cntr_contract_id)-sum(case when (src.elbe_pre_moc = tgt.elbe_pre_moc) or (src.elbe_pre_moc is null and tgt.elbe_pre_moc is null ) then 1 else 0 end) elbe_pre_moc_count,
count(src.cntr_contract_id)-sum(case when (src.elbe_reg = tgt.elbe_reg) or (src.elbe_reg is null and tgt.elbe_reg is null ) then 1 else 0 end) elbe_reg_count,
count(src.cntr_contract_id)-sum(case when (src.lgd_reg = tgt.lgd_reg) or (src.lgd_reg is null and tgt.lgd_reg is null ) then 1 else 0 end) lgd_reg_count,
count(src.cntr_contract_id)-sum(case when (src.lgd_eco = tgt.lgd_eco) or (src.lgd_eco is null and tgt.lgd_eco is null ) then 1 else 0 end) lgd_eco_count,
count(src.cntr_contract_id)-sum(case when (src.monthly_ir = tgt.monthly_ir) or (src.monthly_ir is null and tgt.monthly_ir is null ) then 1 else 0 end) monthly_ir_count,
count(src.cntr_contract_id)-sum(case when (src.ead_reg = tgt.ead_reg) or (src.ead_reg is null and tgt.ead_reg is null ) then 1 else 0 end) ead_reg_count,
count(src.cntr_contract_id)-sum(case when (src.ead_eco = tgt.ead_eco) or (src.ead_eco is null and tgt.ead_eco is null ) then 1 else 0 end) ead_eco_count,
count(src.cntr_contract_id)-sum(case when (src.ead_reg_scalar = tgt.ead_reg_scalar) or (src.ead_reg_scalar is null and tgt.ead_reg_scalar is null ) then 1 else 0 end) ead_reg_scalar_count,
count(src.cntr_contract_id)-sum(case when (src.ead_eco_scalar = tgt.ead_eco_scalar) or (src.ead_eco_scalar is null and tgt.ead_eco_scalar is null ) then 1 else 0 end) ead_eco_scalar_count,
count(src.cntr_contract_id)-sum(case when (src.el_perc_reg = tgt.el_perc_reg) or (src.el_perc_reg is null and tgt.el_perc_reg is null ) then 1 else 0 end) el_perc_reg_count,
count(src.cntr_contract_id)-sum(case when (src.el_reg = tgt.el_reg) or (src.el_reg is null and tgt.el_reg is null ) then 1 else 0 end) el_reg_count,
count(src.cntr_contract_id)-sum(case when (src.upl_corr = tgt.upl_corr) or (src.upl_corr is null and tgt.upl_corr is null ) then 1 else 0 end) upl_corr_count,
count(src.cntr_contract_id)-sum(case when (src.rw_perc_reg = tgt.rw_perc_reg) or (src.rw_perc_reg is null and tgt.rw_perc_reg is null ) then 1 else 0 end) rw_perc_reg_count,
count(src.cntr_contract_id)-sum(case when (src.rwa_reg = tgt.rwa_reg) or (src.rwa_reg is null and tgt.rwa_reg is null ) then 1 else 0 end) rwa_reg_count,
count(src.cntr_contract_id)-sum(case when (src.capital_reg = tgt.capital_reg) or (src.capital_reg is null and tgt.capital_reg is null ) then 1 else 0 end) capital_reg_count,
count(src.cntr_contract_id)-sum(case when (src.audt_process_status = tgt.audt_process_status) or (src.audt_process_status is null and tgt.audt_process_status is null ) then 1 else 0 end) audt_process_status_count,
count(src.cntr_contract_id)-sum(case when (src.software_version = tgt.software_version) or (src.software_version is null and tgt.software_version is null ) then 1 else 0 end) software_version_count,
count(src.cntr_contract_id)-sum(case when (src.audt_process_timestamp = tgt.audt_process_timestamp) or (src.audt_process_timestamp is null and tgt.audt_process_timestamp is null ) then 1 else 0 end) audt_process_timestamp_count,
count(src.cntr_contract_id)-sum(case when (src.date_processed = tgt.date_processed) or (src.date_processed is null and tgt.date_processed is null ) then 1 else 0 end) date_processed_count,
count(src.cntr_contract_id)-sum(case when (src.audt_execution_version = tgt.audt_execution_version) or (src.audt_execution_version is null and tgt.audt_execution_version is null ) then 1 else 0 end) audt_execution_version_count
from                   
(select *                  
from prod_retail_capital_enriched.upl_irb2_model_ecb_partitions                  
where date_processed='2024-12-31'                  
and audt_execution_version='ACM2') src                 
full outer join                 
(select *                  
from prod_retail_capital_enriched.upl_irb2_model_ecb_partitions                  
where date_processed='2024-12-31'                  
and audt_execution_version='MCM7') tgt                 
on src.cntr_contract_id=tgt.cntr_contract_id
group by tgt.date_processed, tgt.audt_execution_version, tgt.audt_process_timestamp, src.audt_process_timestamp</t>
  </si>
  <si>
    <t>bh_score</t>
  </si>
  <si>
    <t>select 
date_processed, 
audt_execution_version,
count(*),
count(case when bh_score= bh_score_test then 1 end ) as match,
count(case when bh_score&lt;&gt; bh_score_test then 1 end ) as NO_match,
count(case when bh_score is null and  bh_score_test is null then 1 end ) as both_null,
count(case when bh_score is null and  bh_score_test is not null then 1 end ) as src_is_null_test_is_not_null,
count(case when bh_score is not null and  bh_score_test is null then 1 end ) as src_is_not_null_test_is_null
from
(select irb2.date_processed, irb2.audt_execution_version, irb2.cntr_contract_id, irb2.cntr_source_system, bh_score, bh_score_test from
(select * from prod_retail_capital_enriched.upl_irb2_model_ecb_partitions
where date_processed='2024-12-31' and audt_execution_version='MCM7') irb2
full outer join
(select upldrv.cntr_contract_id, upldrv.contract_source_system, coalesce(uplbh.bh_score,0) as bh_score_test 
from
(select * from prod_retail_capital_enriched.main_upl_driver
where date_processed='2024-12-31' and audt_execution_version='MCM7') upldrv
left outer join
(select * from prod_retail_capital_enriched.upl_bh_score_model_partitions
where date_processed='2024-12-31' and audt_execution_version='MCM7' and model='ECB') uplbh
on upldrv.cntr_contract_id = uplbh.cntr_contract_id and upldrv.contract_source_system = uplbh.contract_source_system) beh
on irb2.cntr_contract_id = beh.cntr_contract_id and irb2.cntr_source_system = beh.contract_source_system) src
group by date_processed, audt_execution_version;</t>
  </si>
  <si>
    <t>pd_score</t>
  </si>
  <si>
    <t>select 
date_processed, 
audt_execution_version,
count(*),
count(case when pd_score= pd_score_test then 1 end ) as match,
count(case when pd_score&lt;&gt; pd_score_test then 1 end ) as NO_match,
count(case when pd_score is null and  pd_score_test is null then 1 end ) as both_null,
count(case when pd_score is null and  pd_score_test is not null then 1 end ) as src_is_null_test_is_not_null,
count(case when pd_score is not null and  pd_score_test is null then 1 end ) as src_is_not_null_test_is_null
from
(select irb2.date_processed, irb2.audt_execution_version, irb2.cntr_contract_id, irb2.cntr_source_system, pd_score, pd_score_test from
(select * from prod_retail_capital_enriched.upl_irb2_model_ecb_partitions
where date_processed='2024-12-31' and audt_execution_version='MCM7') irb2
full outer join
(select upldrv.cntr_contract_id, upldrv.contract_source_system, 
case when arrears_history_cde_irb2 = 0 or arrears_history_cde_irb2 is null then 
case when time_on_books_mths_cnt &lt; 3 then   
case when cast(application_score_ecb as decimal(6,0)) is null then null else cast(application_score_ecb as decimal(6,0)) end
else case when bh_score is null then null else bh_score end end
when arrears_history_cde_irb2 != 5 then
case when bh_score is null then null else bh_score end
else null end as pd_score_test 
from
(select * from prod_retail_capital_enriched.main_upl_driver
where date_processed='2024-12-31' and audt_execution_version='MCM7') upldrv
left outer join
(select * from prod_retail_capital_enriched.upl_bh_score_model_partitions
where date_processed='2024-12-31' and audt_execution_version='MCM7' and model='ECB') uplbh
on upldrv.cntr_contract_id = uplbh.cntr_contract_id and upldrv.contract_source_system = uplbh.contract_source_system) beh
on irb2.cntr_contract_id = beh.cntr_contract_id and irb2.cntr_source_system = beh.contract_source_system) src
group by date_processed, audt_execution_version;</t>
  </si>
  <si>
    <t>pd_grade_desc</t>
  </si>
  <si>
    <t>select 
date_processed, 
audt_execution_version,
count(*),
count(case when pd_grade_desc= pd_grade_desc_test then 1 end ) as match,
count(case when pd_grade_desc&lt;&gt; pd_grade_desc_test then 1 end ) as NO_match,
count(case when pd_grade_desc is null and  pd_grade_desc_test is null then 1 end ) as both_null,
count(case when pd_grade_desc is null and  pd_grade_desc_test is not null then 1 end ) as src_is_null_test_is_not_null,
count(case when pd_grade_desc is not null and  pd_grade_desc_test is null then 1 end ) as src_is_not_null_test_is_null
from
(select date_processed, audt_execution_version, cntr_contract_id, cntr_source_system, pd_grade_desc, 
case when pd_leaf = 10 then CONCAT('APP_GRADE','1')
when pd_leaf = 11 then CONCAT('APP_GRADE','2')
when pd_leaf = 12 then CONCAT('APP_GRADE','3')
when pd_leaf = 13 then CONCAT('APP_GRADE','4')
when pd_leaf &gt;=1 and pd_leaf &lt;=9 then  CONCAT('BEH_GRADE',cast(pd_leaf as string))
when pd_leaf = 99 then 'DEF'
else null end as pd_grade_desc_test
from
prod_retail_capital_enriched.upl_irb2_model_ecb_partitions
where date_processed='2024-12-31' and audt_execution_version='MCM7') src
group by date_processed, audt_execution_version;</t>
  </si>
  <si>
    <t>pd_leaf</t>
  </si>
  <si>
    <t>select 
date_processed, 
audt_execution_version,
count(*),
count(case when pd_leaf= pd_leaf_test then 1 end ) as match,
count(case when pd_leaf&lt;&gt; pd_leaf_test then 1 end ) as NO_match,
count(case when pd_leaf is null and  pd_leaf_test is null then 1 end ) as both_null,
count(case when pd_leaf is null and  pd_leaf_test is not null then 1 end ) as src_is_null_test_is_not_null,
count(case when pd_leaf is not null and  pd_leaf_test is null then 1 end ) as src_is_not_null_test_is_null
from
(select irb2.date_processed, irb2.audt_execution_version, irb2.cntr_contract_id, irb2.cntr_source_system, pd_leaf, 
case when irb2.pd_approach = 'APPLICATION' then 
case when beh.application_score_ecb is null then 10
when beh.application_score_ecb &lt; 595.5 then 10
when beh.application_score_ecb &gt;= 595.5 and beh.application_score_ecb &lt; 611.5 then 11
when beh.application_score_ecb &gt;= 611.5 and beh.application_score_ecb &lt; 635.5 then 12
when beh.application_score_ecb &gt;= 635.5 then 13
else null end
when irb2.pd_approach = 'BEHAVIOUR' then
case when beh.arrears_history_cde_irb2 is null or beh.arrears_history_cde_irb2 = 2 or beh.arrears_history_cde_irb2 = 4 then 1
when irb2.pd_score is null then 1
when (beh.arrears_history_cde_irb2 = 3 or beh.arrears_history_cde_irb2 = 1 or beh.arrears_history_cde_irb2 = 0) then 
case when irb2.pd_score &lt; 560.5 then 2
when irb2.pd_score &gt;= 560.5 and irb2.pd_score &lt; 570.5 then 3
when irb2.pd_score &gt;= 570.5 and irb2.pd_score &lt; 583.5 then 4
when irb2.pd_score &gt;= 583.5 and irb2.pd_score &lt; 601.5 then 5
when irb2.pd_score &gt;= 601.5 and irb2.pd_score &lt; 619.5 then 6
when irb2.pd_score &gt;= 619.5 and irb2.pd_score &lt; 634.5 then 7
when irb2.pd_score &gt;= 634.5 and irb2.pd_score &lt; 664.5 then 8
when irb2.pd_score &gt;= 664.5 then 9
else null end
else null end
when irb2.pd_approach = 'DEFAULT' then 99
else null end as pd_leaf_test
from
(select * from prod_retail_capital_enriched.upl_irb2_model_ecb_partitions
where date_processed='2024-12-31' and audt_execution_version='MCM7') irb2
full outer join
(select upldrv.cntr_contract_id, upldrv.contract_source_system, upldrv.application_score_ecb, upldrv.arrears_history_cde_irb2
from
(select * from prod_retail_capital_enriched.main_upl_driver
where date_processed='2024-12-31' and audt_execution_version='MCM7') upldrv
left outer join
(select * from prod_retail_capital_enriched.upl_bh_score_model_partitions
where date_processed='2024-12-31' and audt_execution_version='MCM7' and model='ECB') uplbh
on upldrv.cntr_contract_id = uplbh.cntr_contract_id and upldrv.contract_source_system = uplbh.contract_source_system) beh
on irb2.cntr_contract_id = beh.cntr_contract_id and irb2.cntr_source_system = beh.contract_source_system) src
group by date_processed, audt_execution_version;</t>
  </si>
  <si>
    <t>pd_pre_moc</t>
  </si>
  <si>
    <t>select 
date_processed, 
audt_execution_version,
count(*),
count(case when pd_pre_moc= pd_pre_moc_test then 1 end ) as match,
count(case when pd_pre_moc&lt;&gt; pd_pre_moc_test then 1 end ) as NO_match,
count(case when pd_pre_moc is null and  pd_pre_moc_test is null then 1 end ) as both_null,
count(case when pd_pre_moc is null and  pd_pre_moc_test is not null then 1 end ) as src_is_null_test_is_not_null,
count(case when pd_pre_moc is not null and  pd_pre_moc_test is null then 1 end ) as src_is_not_null_test_is_null
from
(select date_processed, audt_execution_version, cntr_contract_id, cntr_source_system, pd_pre_moc, 
case when pd_leaf = 1 then 0.87299530
when pd_leaf = 2 then 0.49201711
when pd_leaf = 3 then 0.36315648
when pd_leaf = 4 then 0.26273538
when pd_leaf = 5 then 0.17086993
when pd_leaf = 6 then 0.09908830
when pd_leaf = 7 then 0.05478592
when pd_leaf = 8 then 0.02430217
when pd_leaf = 9 then 0.01149485
when pd_leaf = 10 then 0.13332845
when pd_leaf = 11 then 0.06325610
when pd_leaf = 12 then 0.02792541
when pd_leaf = 13 then 0.00811736
when pd_leaf = 99 then 1.00000000
else 999 end as pd_pre_moc_test
from
prod_retail_capital_enriched.upl_irb2_model_ecb_partitions
where date_processed='2024-12-31' and audt_execution_version='MCM7') src
group by date_processed, audt_execution_version;</t>
  </si>
  <si>
    <t>pd_reg</t>
  </si>
  <si>
    <t>select 
date_processed, 
audt_execution_version,
count(*),
count(case when pd_reg= pd_reg_test then 1 end ) as match,
count(case when pd_reg&lt;&gt; pd_reg_test then 1 end ) as NO_match,
count(case when pd_reg is null and  pd_reg_test is null then 1 end ) as both_null,
count(case when pd_reg is null and  pd_reg_test is not null then 1 end ) as src_is_null_test_is_not_null,
count(case when pd_reg is not null and  pd_reg_test is null then 1 end ) as src_is_not_null_test_is_null
from
(select date_processed, audt_execution_version, cntr_contract_id, cntr_source_system, pd_reg, 
case when pd_leaf = 1 then 0.88695407
when pd_leaf = 2 then 0.50303499
when pd_leaf = 3 then 0.36875616
when pd_leaf = 4 then 0.26446734
when pd_leaf = 5 then 0.17198439
when pd_leaf = 6 then 0.09975380
when pd_leaf = 7 then 0.05518495
when pd_leaf = 8 then 0.02447984
when pd_leaf = 9 then 0.01160095
when pd_leaf = 10 then 0.13759516
when pd_leaf = 11 then 0.06492961
when pd_leaf = 12 then 0.02870843
when pd_leaf = 13 then 0.00840098
when pd_leaf = 99 then 1.00000000
else 999 end as pd_reg_test
from
prod_retail_capital_enriched.upl_irb2_model_ecb_partitions
where date_processed='2024-12-31' and audt_execution_version='MCM7') src
group by date_processed, audt_execution_version;</t>
  </si>
  <si>
    <t>lgd_reg</t>
  </si>
  <si>
    <t>select 
date_processed, audt_execution_version, count(*),
sum(case when lgd_reg=lgd_reg_test then 1 else 0 end) match,
sum(case when lgd_reg&lt;&gt;lgd_reg_test then 1 else 0 end) no_match,
sum(case when lgd_reg is null and lgd_reg_test is null then 1 else 0 end) both_null,
sum(case when lgd_reg is null and lgd_reg_test is not null then 1 else 0 end) lgd_reg_null_lgd_reg_test_notnull,
sum(case when lgd_reg is not null and lgd_reg_test is null then 1 else 0 end) lgd_reg_test_null_lgd_reg_notnull
from
(select *, round(case when pd_reg=1 then lgd_dt else lgd_dt*1.1 end,8) as lgd_reg_test
from
 prod_retail_capital_enriched.upl_irb2_model_ecb_partitions                 
where date_processed='2024-12-31'                 
and audt_execution_version='MCM7'                 
) tbl
group by date_processed, audt_execution_version;</t>
  </si>
  <si>
    <t>lgd_reg_null_lgd_reg_test_notnull</t>
  </si>
  <si>
    <t>lgd_reg_test_null_lgd_reg_notnull</t>
  </si>
  <si>
    <t>el_perc_reg</t>
  </si>
  <si>
    <t>select
date_processed, 
audt_execution_version, 
count(*),
count(case when el_perc_reg= el_perc_reg_test then 1 end ) as match,
count(case when el_perc_reg&lt;&gt; el_perc_reg_test then 1 end ) as NO_match,
count(case when el_perc_reg is null and  el_perc_reg_test is null then 1 end ) as both_null,
count(case when el_perc_reg is null and  el_perc_reg_test is not null then 1 end ) as src_is_null_test_is_not_null,
count(case when el_perc_reg is not null and  el_perc_reg_test is null then 1 end ) as src_is_not_null_test_is_null
from
(select date_processed, audt_execution_version, cntr_contract_id, cntr_source_system, el_perc_reg, 
round(case when pd_reg&lt;1 then pd_reg * lgd_reg
when elbe_reg is not null then pd_reg * elbe_reg
else null end,8) as el_perc_reg_test
from
prod_retail_capital_enriched.upl_irb2_model_ecb_partitions
where date_processed='2024-12-31' and audt_execution_version='MCM7') src
group by date_processed, audt_execution_version;</t>
  </si>
  <si>
    <t>Rounding issue</t>
  </si>
  <si>
    <t>select
count(*), el_perc_reg, el_perc_reg_test, max(abs(el_perc_reg - el_perc_reg_test)) as max_diff
from
(select date_processed, audt_execution_version, cntr_contract_id, cntr_source_system, el_perc_reg, 
round(case when pd_reg&lt;1 then pd_reg * lgd_reg
when elbe_reg is not null then pd_reg * elbe_reg
else null end,8) as el_perc_reg_test
from
prod_retail_capital_enriched.upl_irb2_model_ecb_partitions
where date_processed='2024-12-31' and audt_execution_version='MCM7') src
where el_perc_reg&lt;&gt; el_perc_reg_test
group by el_perc_reg, el_perc_reg_test</t>
  </si>
  <si>
    <t>el_perc_reg_test</t>
  </si>
  <si>
    <t>max_diff</t>
  </si>
  <si>
    <t>662</t>
  </si>
  <si>
    <t>0.53124061</t>
  </si>
  <si>
    <t>0.53124062</t>
  </si>
  <si>
    <t>el_reg</t>
  </si>
  <si>
    <t>select 
date_processed, 
audt_execution_version,
count(*),
count(case when el_reg= el_reg_test then 1 end ) as match,
count(case when el_reg&lt;&gt; el_reg_test then 1 end ) as NO_match,
count(case when el_reg is null and  el_reg_test is null then 1 end ) as both_null,
count(case when el_reg is null and  el_reg_test is not null then 1 end ) as src_is_null_test_is_not_null,
count(case when el_reg is not null and  el_reg_test is null then 1 end ) as src_is_not_null_test_is_null
from
(select date_processed, audt_execution_version, cntr_contract_id, cntr_source_system, el_reg, 
round(case when pd_reg&lt;1 then pd_reg * lgd_reg * ead_reg
when elbe_reg is not null then pd_reg * elbe_reg * ead_reg
else null end,8) as el_reg_test
from
prod_retail_capital_enriched.upl_irb2_model_ecb_partitions
where date_processed='2024-12-31' and audt_execution_version='MCM7') src
group by date_processed, audt_execution_version;</t>
  </si>
  <si>
    <t>select  
count(*),
max(abs(el_reg - el_reg_test)) as max_diff,
min(abs(el_reg - el_reg_test)) as min_diff
from
(select date_processed, audt_execution_version, el_reg, 
round(case when pd_reg&lt;1 then pd_reg * lgd_reg * ead_reg
when elbe_reg is not null then pd_reg * elbe_reg * ead_reg
else null end,8) as el_reg_test from
prod_retail_capital_enriched.upl_irb2_model_ecb_partitions
where date_processed='2024-12-31' and audt_execution_version='MCM7') src
where el_reg &lt;&gt; el_reg_test</t>
  </si>
  <si>
    <t>min_diff</t>
  </si>
  <si>
    <t>266555</t>
  </si>
  <si>
    <t>0.00004832</t>
  </si>
  <si>
    <t>0.00000001</t>
  </si>
  <si>
    <t>upl_corr</t>
  </si>
  <si>
    <t>select 
date_processed, 
audt_execution_version,
count(*),
count(case when upl_corr= upl_corr_test then 1 end ) as match,
count(case when upl_corr&lt;&gt; upl_corr_test then 1 end ) as NO_match,
count(case when upl_corr is null and  upl_corr_test is null then 1 end ) as both_null,
count(case when upl_corr is null and  upl_corr_test is not null then 1 end ) as src_is_null_test_is_not_null,
count(case when upl_corr is not null and  upl_corr_test is null then 1 end ) as src_is_not_null_test_is_null
from
(select date_processed, audt_execution_version, cntr_contract_id, cntr_source_system, upl_corr, 
round(0.03 * (1 - exp(-35.0 * pd_reg)) / (1 - exp(-35.0)) + 0.16 * (1 - (1 - exp(-35.0 * pd_reg)) / (1 - exp(-35.0))),8) as upl_corr_test
from
prod_retail_capital_enriched.upl_irb2_model_ecb_partitions
where date_processed='2024-12-31' and audt_execution_version='MCM7') src
group by date_processed, audt_execution_version;</t>
  </si>
  <si>
    <t>rw_perc_reg</t>
  </si>
  <si>
    <t>with params
as (select date_processed, audt_execution_version, audt_process_timestamp,pd_reg, upl_corr, lgd_reg, elbe_reg, rw_perc_reg,
cast(sqrt(-2 * cast(ln(pd_reg) as double)) as DOUBLE) as t1,
cast(sqrt(-2 * cast(ln(1-pd_reg) as double)) as DOUBLE) as t2,
cast(sqrt(-2 * cast(ln(0.999) as double)) as DOUBLE) as t3,
cast(sqrt(-2 * cast(ln(1-0.999) as double)) as DOUBLE) as t4,
cast(2.515517 as DOUBLE) as c0,
cast(0.802853 as DOUBLE) as c1,
cast(0.010328 as DOUBLE) as c2,
cast(0.001308 as DOUBLE) as c3,
cast(1.432788 as DOUBLE) as d1,
cast(0.189269 as DOUBLE) as d2,
cast(0.001308 as DOUBLE) as d3,
cast(0.000252 as DOUBLE) as d4
from prod_retail_capital_enriched.upl_irb2_model_ecb_partitions
where date_processed='2024-12-31' and audt_execution_version='MCM7'),
inv_cdf as (select date_processed, audt_execution_version, audt_process_timestamp,pd_reg, upl_corr, lgd_reg, elbe_reg, rw_perc_reg,
case when pd_reg &lt; 0.5 then -(t1 - ((c0 + c1*t1 + c2*pow(t1,2) + c3*pow(t1,3))/(1 + d1*t1 + d2*pow(t1,2) + d3*pow(t1,3) + d4*pow(t1,4))))
else (t2 - ((c0 + c1*t2 + c2*pow(t2,2) + c3*pow(t2,3))/(1 + d1*t2 + d2*pow(t2,2) + d3*pow(t2,3) + d4*pow(t2,4))))
end as inverse_cdf_1,
case when 0.999 &lt; 0.5 then -(t3 - ((c0 + c1*t3 + c2*pow(t3,2) + c2*pow(t3,3))/(1 + d1*t3 + d2*pow(t3,2) + d3*pow(t3,3) + d4*pow(t3,4)))) 
else (t4 - ((c0 + c1*t4 + c2*pow(t4,2) + c3*pow(t4,3))/(1 + d1*t4 + d2*pow(t4,2) + d3*pow(t4,3) + d4*pow(t4,4))))
end as inverse_cdf_2,
cast(0.3275911 as DOUBLE) as p,
cast(0.254829592 as DOUBLE) as a1,
cast(-0.284496736 as DOUBLE) as a2,
cast(1.421413741 as DOUBLE) as a3,
cast(-1.453152027 as DOUBLE) as a4,
cast(1.061405429 as DOUBLE) as a5
from params),
cdf_input as (
select date_processed, audt_execution_version, audt_process_timestamp, pd_reg, upl_corr, lgd_reg, elbe_reg, rw_perc_reg, inverse_cdf_1, inverse_cdf_2, p, a1, a2, a3, a4, a5,
(pow(1-cast(upl_corr as DOUBLE),-0.5) * inverse_cdf_1 + pow(cast(upl_corr/(1-upl_corr) as DOUBLE), 0.5) * inverse_cdf_2) as cdf_input_value
from inv_cdf),
cdf as (
select date_processed, audt_execution_version, audt_process_timestamp, pd_reg, upl_corr, lgd_reg, elbe_reg, rw_perc_reg, inverse_cdf_1, inverse_cdf_2, p, a1, a2, a3, a4, a5,
cdf_input_value,
cdf_input_value/sqrt(2) as x,
1/(1+ 0.3275911*(cdf_input_value / sqrt(2))) as t from cdf_input)
select 
date_processed, 
audt_execution_version,
count(*),
count(case when rw_perc_reg = rw_perc_reg_test then 1 end ) as match,
count(case when rw_perc_reg &lt;&gt; rw_perc_reg_test then 1 end ) as NO_match,
count(case when rw_perc_reg is null and rw_perc_reg_test is null then 1 end ) as both_null,
count(case when rw_perc_reg is null and rw_perc_reg_test is not null then 1 end ) as src_is_null_test_is_not_null,
count(case when rw_perc_reg is not null and rw_perc_reg_test is null then 1 end ) as src_is_not_null_test_is_null
from
(select date_processed, audt_execution_version,
case when pd_reg &lt; 1 then 
12.5 * 1.06 * lgd_reg * ((0.5*(1+ (1 - (a1*pow(t,1) + a2*pow(t,2) + a3*pow(t,3) + a4*pow(t,4) + a5*pow(t,5)) * exp(-x*x)))) - pd_reg)
else 
12.5 * greatest(0,lgd_reg - elbe_reg) end as rw_perc_reg_test, rw_perc_reg
from cdf) src
group by date_processed, audt_execution_version;</t>
  </si>
  <si>
    <t>Formula is approximated</t>
  </si>
  <si>
    <t>with params
as (select date_processed, audt_execution_version, audt_process_timestamp,pd_reg, upl_corr, lgd_reg, elbe_reg, rw_perc_reg,
cast(sqrt(-2 * cast(ln(pd_reg) as double)) as DOUBLE) as t1,
cast(sqrt(-2 * cast(ln(1-pd_reg) as double)) as DOUBLE) as t2,
cast(sqrt(-2 * cast(ln(0.999) as double)) as DOUBLE) as t3,
cast(sqrt(-2 * cast(ln(1-0.999) as double)) as DOUBLE) as t4,
cast(2.515517 as DOUBLE) as c0,
cast(0.802853 as DOUBLE) as c1,
cast(0.010328 as DOUBLE) as c2,
cast(0.001308 as DOUBLE) as c3,
cast(1.432788 as DOUBLE) as d1,
cast(0.189269 as DOUBLE) as d2,
cast(0.001308 as DOUBLE) as d3,
cast(0.000252 as DOUBLE) as d4
from prod_retail_capital_enriched.upl_irb2_model_ecb_partitions
where date_processed='2024-12-31' and audt_execution_version='MCM7'),
inv_cdf as (select date_processed, audt_execution_version, audt_process_timestamp,pd_reg, upl_corr, lgd_reg, elbe_reg, rw_perc_reg,
case when pd_reg &lt; 0.5 then -(t1 - ((c0 + c1*t1 + c2*pow(t1,2) + c3*pow(t1,3))/(1 + d1*t1 + d2*pow(t1,2) + d3*pow(t1,3) + d4*pow(t1,4))))
else (t2 - ((c0 + c1*t2 + c2*pow(t2,2) + c3*pow(t2,3))/(1 + d1*t2 + d2*pow(t2,2) + d3*pow(t2,3) + d4*pow(t2,4))))
end as inverse_cdf_1,
case when 0.999 &lt; 0.5 then -(t3 - ((c0 + c1*t3 + c2*pow(t3,2) + c2*pow(t3,3))/(1 + d1*t3 + d2*pow(t3,2) + d3*pow(t3,3) + d4*pow(t3,4)))) 
else (t4 - ((c0 + c1*t4 + c2*pow(t4,2) + c3*pow(t4,3))/(1 + d1*t4 + d2*pow(t4,2) + d3*pow(t4,3) + d4*pow(t4,4))))
end as inverse_cdf_2,
cast(0.3275911 as DOUBLE) as p,
cast(0.254829592 as DOUBLE) as a1,
cast(-0.284496736 as DOUBLE) as a2,
cast(1.421413741 as DOUBLE) as a3,
cast(-1.453152027 as DOUBLE) as a4,
cast(1.061405429 as DOUBLE) as a5
from params),
cdf_input as (
select date_processed, audt_execution_version, audt_process_timestamp, pd_reg, upl_corr, lgd_reg, elbe_reg, rw_perc_reg, inverse_cdf_1, inverse_cdf_2, p, a1, a2, a3, a4, a5,
(pow(1-cast(upl_corr as DOUBLE),-0.5) * inverse_cdf_1 + pow(cast(upl_corr/(1-upl_corr) as DOUBLE), 0.5) * inverse_cdf_2) as cdf_input_value
from inv_cdf),
cdf as (
select date_processed, audt_execution_version, audt_process_timestamp, pd_reg, upl_corr, lgd_reg, elbe_reg, rw_perc_reg, inverse_cdf_1, inverse_cdf_2, p, a1, a2, a3, a4, a5,
cdf_input_value,
cdf_input_value/sqrt(2) as x,
1/(1+ 0.3275911*(cdf_input_value / sqrt(2))) as t from cdf_input)
select 
count(*),
max(abs(rw_perc_reg - rw_perc_reg_test)) as max_diff,
min(abs(rw_perc_reg - rw_perc_reg_test)) as min_diff
from
(select date_processed, audt_execution_version,
case when pd_reg &lt; 1 then 
12.5 * 1.06 * lgd_reg * ((0.5*(1+ (1 - (a1*pow(t,1) + a2*pow(t,2) + a3*pow(t,3) + a4*pow(t,4) + a5*pow(t,5)) * exp(-x*x)))) - pd_reg)
else 
12.5 * greatest(0,lgd_reg - elbe_reg) end as rw_perc_reg_test, rw_perc_reg
from cdf) src
where rw_perc_reg &lt;&gt; rw_perc_reg_test;</t>
  </si>
  <si>
    <t>336238</t>
  </si>
  <si>
    <t>rwa_reg</t>
  </si>
  <si>
    <t>select 
date_processed, 
audt_execution_version,
count(*),
count(case when rwa_reg= rwa_reg_test then 1 end ) as match,
count(case when rwa_reg&lt;&gt; rwa_reg_test then 1 end ) as NO_match,
count(case when rwa_reg is null and  rwa_reg_test is null then 1 end ) as both_null,
count(case when rwa_reg is null and  rwa_reg_test is not null then 1 end ) as src_is_null_test_is_not_null,
count(case when rwa_reg is not null and  rwa_reg_test is null then 1 end ) as src_is_not_null_test_is_null
from
(select date_processed, audt_execution_version, cntr_contract_id, cntr_source_system, rwa_reg, 
round(ead_reg * rw_perc_reg, 8) AS rwa_reg_test
from
prod_retail_capital_enriched.upl_irb2_model_ecb_partitions
where date_processed='2024-12-31' and audt_execution_version='MCM7') src
group by date_processed, audt_execution_version;</t>
  </si>
  <si>
    <t>Rounding Issue</t>
  </si>
  <si>
    <t>select 
count(*),
max(abs(rwa_reg - rwa_reg_test)) as max_diff,
min(abs(rwa_reg - rwa_reg_test)) as min_diff
from
(select date_processed, audt_execution_version, rwa_reg, 
round(ead_reg * rw_perc_reg, 8) AS rwa_reg_test
from
prod_retail_capital_enriched.upl_irb2_model_ecb_partitions
where date_processed='2024-12-31' and audt_execution_version='MCM7') src
where rwa_reg &lt;&gt; rwa_reg_test;</t>
  </si>
  <si>
    <t>336237</t>
  </si>
  <si>
    <t>capital_reg</t>
  </si>
  <si>
    <t>select 
date_processed, 
audt_execution_version,
count(*),
count(case when capital_reg= capital_reg_test then 1 end ) as match,
count(case when capital_reg&lt;&gt; capital_reg_test then 1 end ) as NO_match,
count(case when capital_reg is null and  capital_reg_test is null then 1 end ) as both_null,
count(case when capital_reg is null and  capital_reg_test is not null then 1 end ) as src_is_null_test_is_not_null,
count(case when capital_reg is not null and  capital_reg_test is null then 1 end ) as src_is_not_null_test_is_null
from
(select date_processed, audt_execution_version, cntr_contract_id, cntr_source_system, capital_reg, 
round(rwa_reg/12.5,8) AS capital_reg_test
from
prod_retail_capital_enriched.upl_irb2_model_ecb_partitions
where date_processed='2024-12-31' and audt_execution_version='MCM7') src
group by date_processed, audt_execution_version;</t>
  </si>
  <si>
    <t>select  
count(*),
max(abs(capital_reg - capital_reg_test)) as max_diff,
min(abs(capital_reg - capital_reg_test)) as min_diff
from
(select date_processed, audt_execution_version, capital_reg, 
round(rwa_reg/12.5,8) AS capital_reg_test
from
prod_retail_capital_enriched.upl_irb2_model_ecb_partitions
where date_processed='2024-09-30' and audt_execution_version='MCM2') src
where capital_reg &lt;&gt; capital_reg_test;</t>
  </si>
  <si>
    <t>6856</t>
  </si>
  <si>
    <t>T11 - prod_retail_capital_enriched.main_upl_model_partitions regression with existing columns in pre</t>
  </si>
  <si>
    <t>segment_count</t>
  </si>
  <si>
    <t>pd_irb_char1_score_count</t>
  </si>
  <si>
    <t>pd_irb_char2_score_count</t>
  </si>
  <si>
    <t>pd_irb_char3_score_count</t>
  </si>
  <si>
    <t>pd_irb_char4_score_count</t>
  </si>
  <si>
    <t>pd_irb_char5_score_count</t>
  </si>
  <si>
    <t>pd_irb_char6_score_count</t>
  </si>
  <si>
    <t>pd_irb_char7_score_count</t>
  </si>
  <si>
    <t>pd_irb_char8_score_count</t>
  </si>
  <si>
    <t>pd_irb_char9_score_count</t>
  </si>
  <si>
    <t>pd_irb_char10_score_count</t>
  </si>
  <si>
    <t>pd_irb_char11_score_count</t>
  </si>
  <si>
    <t>pd_irb_char12_score_count</t>
  </si>
  <si>
    <t>pd_irb_char13_score_count</t>
  </si>
  <si>
    <t>pd_irb_char14_score_count</t>
  </si>
  <si>
    <t>pd_irb_char15_score_count</t>
  </si>
  <si>
    <t>pd_irb_char16_score_count</t>
  </si>
  <si>
    <t>calc_pd_fctr_count</t>
  </si>
  <si>
    <t>pd_grade_id_count</t>
  </si>
  <si>
    <t>pd_ttc_count</t>
  </si>
  <si>
    <t>ead_seg_count</t>
  </si>
  <si>
    <t>ead_count</t>
  </si>
  <si>
    <t>ead_floored_count</t>
  </si>
  <si>
    <t>lgd_pd12_count</t>
  </si>
  <si>
    <t>lgd_pwo12_count</t>
  </si>
  <si>
    <t>lgd_pwoe_count</t>
  </si>
  <si>
    <t>lgd_pwod_count</t>
  </si>
  <si>
    <t>lgd_exloss_count</t>
  </si>
  <si>
    <t>lgd_severity_count</t>
  </si>
  <si>
    <t>lgd_ttc_count</t>
  </si>
  <si>
    <t>lgd_floored_count</t>
  </si>
  <si>
    <t>select
tgt.date_processed, tgt.audt_execution_version,
count(src.cntr_contract_id) src_cntr_contract_idcount,
count(tgt.cntr_contract_id) tgt_cntr_contract_idcount,
count(src.cntr_contract_id)-sum(case when (src.cntr_contract_id = tgt.cntr_contract_id) or (src.cntr_contract_id is null and tgt.cntr_contract_id  is null ) then 1 else 0 end) cntr_contract_id_count,
count(src.cntr_contract_id)-sum(case when (src.holding_reference = tgt.holding_reference) or (src.holding_reference is null and tgt.holding_reference  is null ) then 1 else 0 end) holding_reference_count,
count(src.cntr_contract_id)-sum(case when (src.contract_source_system = tgt.contract_source_system) or (src.contract_source_system is null and tgt.contract_source_system  is null ) then 1 else 0 end) contract_source_system_count,
count(src.cntr_contract_id)-sum(case when (src.segment = tgt.segment) or (src.segment is null and tgt.segment  is null ) then 1 else 0 end) segment_count,
count(src.cntr_contract_id)-sum(case when (src.pd_irb_char1_score = tgt.pd_irb_char1_score) or (src.pd_irb_char1_score is null and tgt.pd_irb_char1_score  is null ) then 1 else 0 end) pd_irb_char1_score_count,
count(src.cntr_contract_id)-sum(case when (src.pd_irb_char2_score = tgt.pd_irb_char2_score) or (src.pd_irb_char2_score is null and tgt.pd_irb_char2_score  is null ) then 1 else 0 end) pd_irb_char2_score_count,
count(src.cntr_contract_id)-sum(case when (src.pd_irb_char3_score = tgt.pd_irb_char3_score) or (src.pd_irb_char3_score is null and tgt.pd_irb_char3_score  is null ) then 1 else 0 end) pd_irb_char3_score_count,
count(src.cntr_contract_id)-sum(case when (src.pd_irb_char4_score = tgt.pd_irb_char4_score) or (src.pd_irb_char4_score is null and tgt.pd_irb_char4_score  is null ) then 1 else 0 end) pd_irb_char4_score_count,
count(src.cntr_contract_id)-sum(case when (src.pd_irb_char5_score = tgt.pd_irb_char5_score) or (src.pd_irb_char5_score is null and tgt.pd_irb_char5_score  is null ) then 1 else 0 end) pd_irb_char5_score_count,
count(src.cntr_contract_id)-sum(case when (src.pd_irb_char6_score = tgt.pd_irb_char6_score) or (src.pd_irb_char6_score is null and tgt.pd_irb_char6_score  is null ) then 1 else 0 end) pd_irb_char6_score_count,
count(src.cntr_contract_id)-sum(case when (src.pd_irb_char7_score = tgt.pd_irb_char7_score) or (src.pd_irb_char7_score is null and tgt.pd_irb_char7_score  is null ) then 1 else 0 end) pd_irb_char7_score_count,
count(src.cntr_contract_id)-sum(case when (src.pd_irb_char8_score = tgt.pd_irb_char8_score) or (src.pd_irb_char8_score is null and tgt.pd_irb_char8_score  is null ) then 1 else 0 end) pd_irb_char8_score_count,
count(src.cntr_contract_id)-sum(case when (src.pd_irb_char9_score = tgt.pd_irb_char9_score) or (src.pd_irb_char9_score is null and tgt.pd_irb_char9_score  is null ) then 1 else 0 end) pd_irb_char9_score_count,
count(src.cntr_contract_id)-sum(case when (src.pd_irb_char10_score = tgt.pd_irb_char10_score) or (src.pd_irb_char10_score is null and tgt.pd_irb_char10_score  is null ) then 1 else 0 end) pd_irb_char10_score_count,
count(src.cntr_contract_id)-sum(case when (src.pd_irb_char11_score = tgt.pd_irb_char11_score) or (src.pd_irb_char11_score is null and tgt.pd_irb_char11_score  is null ) then 1 else 0 end) pd_irb_char11_score_count,
count(src.cntr_contract_id)-sum(case when (src.pd_irb_char12_score = tgt.pd_irb_char12_score) or (src.pd_irb_char12_score is null and tgt.pd_irb_char12_score  is null ) then 1 else 0 end) pd_irb_char12_score_count,
count(src.cntr_contract_id)-sum(case when (src.pd_irb_char13_score = tgt.pd_irb_char13_score) or (src.pd_irb_char13_score is null and tgt.pd_irb_char13_score  is null ) then 1 else 0 end) pd_irb_char13_score_count,
count(src.cntr_contract_id)-sum(case when (src.pd_irb_char14_score = tgt.pd_irb_char14_score) or (src.pd_irb_char14_score is null and tgt.pd_irb_char14_score  is null ) then 1 else 0 end) pd_irb_char14_score_count,
count(src.cntr_contract_id)-sum(case when (src.pd_irb_char15_score = tgt.pd_irb_char15_score) or (src.pd_irb_char15_score is null and tgt.pd_irb_char15_score  is null ) then 1 else 0 end) pd_irb_char15_score_count,
count(src.cntr_contract_id)-sum(case when (src.pd_irb_char16_score = tgt.pd_irb_char16_score) or (src.pd_irb_char16_score is null and tgt.pd_irb_char16_score  is null ) then 1 else 0 end) pd_irb_char16_score_count,
count(src.cntr_contract_id)-sum(case when (src.pd_score = tgt.pd_score) or (src.pd_score is null and tgt.pd_score  is null ) then 1 else 0 end) pd_score_count,
count(src.cntr_contract_id)-sum(case when (src.pd_segment = tgt.pd_segment) or (src.pd_segment is null and tgt.pd_segment  is null ) then 1 else 0 end) pd_segment_count,
count(src.cntr_contract_id)-sum(case when (src.calc_pd_fctr = tgt.calc_pd_fctr) or (src.calc_pd_fctr is null and tgt.calc_pd_fctr  is null ) then 1 else 0 end) calc_pd_fctr_count,
count(src.cntr_contract_id)-sum(case when (src.pd_grade_id = tgt.pd_grade_id) or (src.pd_grade_id is null and tgt.pd_grade_id  is null ) then 1 else 0 end) pd_grade_id_count,
count(src.cntr_contract_id)-sum(case when (src.pd_ttc = tgt.pd_ttc) or (src.pd_ttc is null and tgt.pd_ttc  is null ) then 1 else 0 end) pd_ttc_count,
count(src.cntr_contract_id)-sum(case when (src.ead_seg = tgt.ead_seg) or (src.ead_seg is null and tgt.ead_seg  is null ) then 1 else 0 end) ead_seg_count,
count(src.cntr_contract_id)-sum(case when (src.ead = tgt.ead) or (src.ead is null and tgt.ead  is null ) then 1 else 0 end) ead_count,
count(src.cntr_contract_id)-sum(case when (src.ead_floored = tgt.ead_floored) or (src.ead_floored is null and tgt.ead_floored  is null ) then 1 else 0 end) ead_floored_count,
count(src.cntr_contract_id)-sum(case when (src.lgd_pd12 = tgt.lgd_pd12) or (src.lgd_pd12 is null and tgt.lgd_pd12  is null ) then 1 else 0 end) lgd_pd12_count,
count(src.cntr_contract_id)-sum(case when (src.lgd_pwo12 = tgt.lgd_pwo12) or (src.lgd_pwo12 is null and tgt.lgd_pwo12  is null ) then 1 else 0 end) lgd_pwo12_count,
count(src.cntr_contract_id)-sum(case when (src.lgd_pwoe = tgt.lgd_pwoe) or (src.lgd_pwoe is null and tgt.lgd_pwoe  is null ) then 1 else 0 end) lgd_pwoe_count,
count(src.cntr_contract_id)-sum(case when (src.lgd_pwod = tgt.lgd_pwod) or (src.lgd_pwod is null and tgt.lgd_pwod  is null ) then 1 else 0 end) lgd_pwod_count,
count(src.cntr_contract_id)-sum(case when (src.lgd_exloss = tgt.lgd_exloss) or (src.lgd_exloss is null and tgt.lgd_exloss  is null ) then 1 else 0 end) lgd_exloss_count,
count(src.cntr_contract_id)-sum(case when (src.lgd_severity = tgt.lgd_severity) or (src.lgd_severity is null and tgt.lgd_severity  is null ) then 1 else 0 end) lgd_severity_count,
count(src.cntr_contract_id)-sum(case when (src.lgd_ttc = tgt.lgd_ttc) or (src.lgd_ttc is null and tgt.lgd_ttc  is null ) then 1 else 0 end) lgd_ttc_count,
count(src.cntr_contract_id)-sum(case when (src.lgd_floored = tgt.lgd_floored) or (src.lgd_floored is null and tgt.lgd_floored  is null ) then 1 else 0 end) lgd_floored_count,
count(src.cntr_contract_id)-sum(case when (src.audt_process_status = tgt.audt_process_status) or (src.audt_process_status is null and tgt.audt_process_status  is null ) then 1 else 0 end) audt_process_status_count,
count(src.cntr_contract_id)-sum(case when (src.audt_process_timestamp = tgt.audt_process_timestamp) or (src.audt_process_timestamp is null and tgt.audt_process_timestamp  is null ) then 1 else 0 end) audt_process_timestamp_count,
count(src.cntr_contract_id)-sum(case when (src.software_version = tgt.software_version) or (src.software_version is null and tgt.software_version  is null ) then 1 else 0 end) software_version_count,
count(src.cntr_contract_id)-sum(case when (src.date_processed = tgt.date_processed) or (src.date_processed is null and tgt.date_processed  is null ) then 1 else 0 end) date_processed_count,
count(src.cntr_contract_id)-sum(case when (src.audt_execution_version = tgt.audt_execution_version) or (src.audt_execution_version is null and tgt.audt_execution_version  is null ) then 1 else 0 end) audt_execution_version_count
from
(select * from prod_retail_capital_enriched.main_upl_model_partitions
where date_processed="2024-12-31" and audt_execution_version="ACM2") src
full outer join
(select * from prod_retail_capital_enriched.main_upl_model_partitions
where date_processed="2024-12-31" and audt_execution_version="MCM7") tgt
on src.cntr_contract_id = tgt.cntr_contract_id and src.contract_source_system = tgt.contract_source_system
group by tgt.date_processed, tgt.audt_execution_version</t>
  </si>
  <si>
    <t>T12 -prod_multi_entity_capital_enriched.main_internal_ratings_partitions(UPL_IRB) regression</t>
  </si>
  <si>
    <t>src_irtng_contract_idcount</t>
  </si>
  <si>
    <t>tgt_irtng_contract_idcount</t>
  </si>
  <si>
    <t>irtng_contract_id_sequence_count</t>
  </si>
  <si>
    <t>irtng_customer_id_count</t>
  </si>
  <si>
    <t>irtng_customer_source_system_count</t>
  </si>
  <si>
    <t>irtng_approach_count</t>
  </si>
  <si>
    <t>irtng_approach_desc_count</t>
  </si>
  <si>
    <t>irtng_internal_rating_id_count</t>
  </si>
  <si>
    <t>irtng_internal_rating_date_count</t>
  </si>
  <si>
    <t>irtng_internal_rating_description_count</t>
  </si>
  <si>
    <t>irtng_model_code_pd_count</t>
  </si>
  <si>
    <t>irtng_model_description_pd_count</t>
  </si>
  <si>
    <t>irtng_pd_count</t>
  </si>
  <si>
    <t>irtng_model_code_lgd_count</t>
  </si>
  <si>
    <t>irtng_model_description_lgd_count</t>
  </si>
  <si>
    <t>irtng_lgd_count</t>
  </si>
  <si>
    <t>irtng_model_code_ccf_count</t>
  </si>
  <si>
    <t>irtng_model_description_ccf_count</t>
  </si>
  <si>
    <t>irtng_ccf_count</t>
  </si>
  <si>
    <t>irtng_ccf_on_bal_count</t>
  </si>
  <si>
    <t>irtng_model_code_slotting_count</t>
  </si>
  <si>
    <t>irtng_model_description_slotting_count</t>
  </si>
  <si>
    <t>irtng_slotting_category_count</t>
  </si>
  <si>
    <t>irtng_lgd_bde_count</t>
  </si>
  <si>
    <t>irtng_pd_grade_id_count</t>
  </si>
  <si>
    <t>irtng_pd_ec_count</t>
  </si>
  <si>
    <t>irtng_lgd_ec_count</t>
  </si>
  <si>
    <t>irtng_on_bal_ccf_ec_count</t>
  </si>
  <si>
    <t>irtng_off_bal_ccf_ec_count</t>
  </si>
  <si>
    <t>irtng_pd_bde_count</t>
  </si>
  <si>
    <t>irtng_ccf_off_bal_bde_count</t>
  </si>
  <si>
    <t>irtng_ccf_on_bal_bde_count</t>
  </si>
  <si>
    <t>irtng_pd_bde_ec_count</t>
  </si>
  <si>
    <t>irtng_lgd_bde_ec_count</t>
  </si>
  <si>
    <t>irtng_on_bal_ccf_bde_ec_count</t>
  </si>
  <si>
    <t>irtng_off_bal_ccf_bde_ec_count</t>
  </si>
  <si>
    <t>irtng_ead_reg_bde_count</t>
  </si>
  <si>
    <t>irtng_ead_on_bal_reg_bde_count</t>
  </si>
  <si>
    <t>irtng_ead_off_bal_reg_bde_count</t>
  </si>
  <si>
    <t>irtng_elbe_bde_count</t>
  </si>
  <si>
    <t>irtng_elbe_bde_ec_count</t>
  </si>
  <si>
    <t>irtng_nominal_balance_bde_ec_count</t>
  </si>
  <si>
    <t>load_process_count</t>
  </si>
  <si>
    <t>select
tgt.date_processed,
tgt.audt_execution_version,
count(src.irtng_contract_id) src_irtng_contract_idcount,
count(tgt.irtng_contract_id) tgt_irtng_contract_idcount,
count(src.irtng_contract_id)-sum(case when (src.irtng_contract_id_sequence = tgt.irtng_contract_id_sequence) or (src.irtng_contract_id_sequence is null and tgt.irtng_contract_id_sequence  is null ) then 1 else 0 end) irtng_contract_id_sequence_count,
count(src.irtng_contract_id)-sum(case when (src.irtng_customer_id = tgt.irtng_customer_id) or (src.irtng_customer_id is null and tgt.irtng_customer_id  is null ) then 1 else 0 end) irtng_customer_id_count,
count(src.irtng_contract_id)-sum(case when (src.irtng_customer_source_system = tgt.irtng_customer_source_system) or (src.irtng_customer_source_system is null and tgt.irtng_customer_source_system  is null ) then 1 else 0 end) irtng_customer_source_system_count,
count(src.irtng_contract_id)-sum(case when (src.irtng_approach = tgt.irtng_approach) or (src.irtng_approach is null and tgt.irtng_approach  is null ) then 1 else 0 end) irtng_approach_count,
count(src.irtng_contract_id)-sum(case when (src.irtng_approach_desc = tgt.irtng_approach_desc) or (src.irtng_approach_desc is null and tgt.irtng_approach_desc  is null ) then 1 else 0 end) irtng_approach_desc_count,
count(src.irtng_contract_id)-sum(case when (src.irtng_internal_rating_id = tgt.irtng_internal_rating_id) or (src.irtng_internal_rating_id is null and tgt.irtng_internal_rating_id  is null ) then 1 else 0 end) irtng_internal_rating_id_count,
count(src.irtng_contract_id)-sum(case when (src.irtng_internal_rating_date = tgt.irtng_internal_rating_date) or (src.irtng_internal_rating_date is null and tgt.irtng_internal_rating_date  is null ) then 1 else 0 end) irtng_internal_rating_date_count,
count(src.irtng_contract_id)-sum(case when (src.irtng_internal_rating_description = tgt.irtng_internal_rating_description) or (src.irtng_internal_rating_description is null and tgt.irtng_internal_rating_description  is null ) then 1 else 0 end) irtng_internal_rating_description_count,
count(src.irtng_contract_id)-sum(case when (src.irtng_model_code_pd = tgt.irtng_model_code_pd) or (src.irtng_model_code_pd is null and tgt.irtng_model_code_pd  is null ) then 1 else 0 end) irtng_model_code_pd_count,
count(src.irtng_contract_id)-sum(case when (src.irtng_model_description_pd = tgt.irtng_model_description_pd) or (src.irtng_model_description_pd is null and tgt.irtng_model_description_pd  is null ) then 1 else 0 end) irtng_model_description_pd_count,
count(src.irtng_contract_id)-sum(case when (src.irtng_pd = tgt.irtng_pd) or (src.irtng_pd is null and tgt.irtng_pd  is null ) then 1 else 0 end) irtng_pd_count,
count(src.irtng_contract_id)-sum(case when (src.irtng_model_code_lgd = tgt.irtng_model_code_lgd) or (src.irtng_model_code_lgd is null and tgt.irtng_model_code_lgd  is null ) then 1 else 0 end) irtng_model_code_lgd_count,
count(src.irtng_contract_id)-sum(case when (src.irtng_model_description_lgd = tgt.irtng_model_description_lgd) or (src.irtng_model_description_lgd is null and tgt.irtng_model_description_lgd  is null ) then 1 else 0 end) irtng_model_description_lgd_count,
count(src.irtng_contract_id)-sum(case when (src.irtng_lgd = tgt.irtng_lgd) or (src.irtng_lgd is null and tgt.irtng_lgd  is null ) then 1 else 0 end) irtng_lgd_count,
count(src.irtng_contract_id)-sum(case when (src.irtng_model_code_ccf = tgt.irtng_model_code_ccf) or (src.irtng_model_code_ccf is null and tgt.irtng_model_code_ccf  is null ) then 1 else 0 end) irtng_model_code_ccf_count,
count(src.irtng_contract_id)-sum(case when (src.irtng_model_description_ccf = tgt.irtng_model_description_ccf) or (src.irtng_model_description_ccf is null and tgt.irtng_model_description_ccf  is null ) then 1 else 0 end) irtng_model_description_ccf_count,
count(src.irtng_contract_id)-sum(case when (src.irtng_ccf = tgt.irtng_ccf) or (src.irtng_ccf is null and tgt.irtng_ccf  is null ) then 1 else 0 end) irtng_ccf_count,
count(src.irtng_contract_id)-sum(case when (src.irtng_ccf_on_bal = tgt.irtng_ccf_on_bal) or (src.irtng_ccf_on_bal is null and tgt.irtng_ccf_on_bal  is null ) then 1 else 0 end) irtng_ccf_on_bal_count,
count(src.irtng_contract_id)-sum(case when (src.irtng_model_code_slotting = tgt.irtng_model_code_slotting) or (src.irtng_model_code_slotting is null and tgt.irtng_model_code_slotting  is null ) then 1 else 0 end) irtng_model_code_slotting_count,
count(src.irtng_contract_id)-sum(case when (src.irtng_model_description_slotting = tgt.irtng_model_description_slotting) or (src.irtng_model_description_slotting is null and tgt.irtng_model_description_slotting  is null ) then 1 else 0 end) irtng_model_description_slotting_count,
count(src.irtng_contract_id)-sum(case when (src.irtng_slotting_category = tgt.irtng_slotting_category) or (src.irtng_slotting_category is null and tgt.irtng_slotting_category  is null ) then 1 else 0 end) irtng_slotting_category_count,
count(src.irtng_contract_id)-sum(case when (src.audt_process_timestamp = tgt.audt_process_timestamp) or (src.audt_process_timestamp is null and tgt.audt_process_timestamp  is null ) then 1 else 0 end) audt_process_timestamp_count,
count(src.irtng_contract_id)-sum(case when (src.irtng_lgd_bde = tgt.irtng_lgd_bde) or (src.irtng_lgd_bde is null and tgt.irtng_lgd_bde  is null ) then 1 else 0 end) irtng_lgd_bde_count,
count(src.irtng_contract_id)-sum(case when (src.irtng_pd_grade_id = tgt.irtng_pd_grade_id) or (src.irtng_pd_grade_id is null and tgt.irtng_pd_grade_id  is null ) then 1 else 0 end) irtng_pd_grade_id_count,
count(src.irtng_contract_id)-sum(case when (src.irtng_pd_ec = tgt.irtng_pd_ec) or (src.irtng_pd_ec is null and tgt.irtng_pd_ec  is null ) then 1 else 0 end) irtng_pd_ec_count,
count(src.irtng_contract_id)-sum(case when (src.irtng_lgd_ec = tgt.irtng_lgd_ec) or (src.irtng_lgd_ec is null and tgt.irtng_lgd_ec  is null ) then 1 else 0 end) irtng_lgd_ec_count,
count(src.irtng_contract_id)-sum(case when (src.irtng_on_bal_ccf_ec = tgt.irtng_on_bal_ccf_ec) or (src.irtng_on_bal_ccf_ec is null and tgt.irtng_on_bal_ccf_ec  is null ) then 1 else 0 end) irtng_on_bal_ccf_ec_count,
count(src.irtng_contract_id)-sum(case when (src.irtng_off_bal_ccf_ec = tgt.irtng_off_bal_ccf_ec) or (src.irtng_off_bal_ccf_ec is null and tgt.irtng_off_bal_ccf_ec  is null ) then 1 else 0 end) irtng_off_bal_ccf_ec_count,
count(src.irtng_contract_id)-sum(case when (src.irtng_pd_bde = tgt.irtng_pd_bde) or (src.irtng_pd_bde is null and tgt.irtng_pd_bde  is null ) then 1 else 0 end) irtng_pd_bde_count,
count(src.irtng_contract_id)-sum(case when (src.irtng_ccf_off_bal_bde = tgt.irtng_ccf_off_bal_bde) or (src.irtng_ccf_off_bal_bde is null and tgt.irtng_ccf_off_bal_bde  is null ) then 1 else 0 end) irtng_ccf_off_bal_bde_count,
count(src.irtng_contract_id)-sum(case when (src.irtng_ccf_on_bal_bde = tgt.irtng_ccf_on_bal_bde) or (src.irtng_ccf_on_bal_bde is null and tgt.irtng_ccf_on_bal_bde  is null ) then 1 else 0 end) irtng_ccf_on_bal_bde_count,
count(src.irtng_contract_id)-sum(case when (src.irtng_pd_bde_ec = tgt.irtng_pd_bde_ec) or (src.irtng_pd_bde_ec is null and tgt.irtng_pd_bde_ec  is null ) then 1 else 0 end) irtng_pd_bde_ec_count,
count(src.irtng_contract_id)-sum(case when (src.irtng_lgd_bde_ec = tgt.irtng_lgd_bde_ec) or (src.irtng_lgd_bde_ec is null and tgt.irtng_lgd_bde_ec  is null ) then 1 else 0 end) irtng_lgd_bde_ec_count,
count(src.irtng_contract_id)-sum(case when (src.irtng_on_bal_ccf_bde_ec = tgt.irtng_on_bal_ccf_bde_ec) or (src.irtng_on_bal_ccf_bde_ec is null and tgt.irtng_on_bal_ccf_bde_ec  is null ) then 1 else 0 end) irtng_on_bal_ccf_bde_ec_count,
count(src.irtng_contract_id)-sum(case when (src.irtng_off_bal_ccf_bde_ec = tgt.irtng_off_bal_ccf_bde_ec) or (src.irtng_off_bal_ccf_bde_ec is null and tgt.irtng_off_bal_ccf_bde_ec  is null ) then 1 else 0 end) irtng_off_bal_ccf_bde_ec_count,
count(src.irtng_contract_id)-sum(case when (src.irtng_ead_reg_bde = tgt.irtng_ead_reg_bde) or (src.irtng_ead_reg_bde is null and tgt.irtng_ead_reg_bde  is null ) then 1 else 0 end) irtng_ead_reg_bde_count,
count(src.irtng_contract_id)-sum(case when (src.irtng_ead_on_bal_reg_bde = tgt.irtng_ead_on_bal_reg_bde) or (src.irtng_ead_on_bal_reg_bde is null and tgt.irtng_ead_on_bal_reg_bde  is null ) then 1 else 0 end) irtng_ead_on_bal_reg_bde_count,
count(src.irtng_contract_id)-sum(case when (src.irtng_ead_off_bal_reg_bde = tgt.irtng_ead_off_bal_reg_bde) or (src.irtng_ead_off_bal_reg_bde is null and tgt.irtng_ead_off_bal_reg_bde  is null ) then 1 else 0 end) irtng_ead_off_bal_reg_bde_count,
count(src.irtng_contract_id)-sum(case when (src.irtng_elbe_bde = tgt.irtng_elbe_bde) or (src.irtng_elbe_bde is null and tgt.irtng_elbe_bde  is null ) then 1 else 0 end) irtng_elbe_bde_count,
count(src.irtng_contract_id)-sum(case when (src.irtng_elbe_bde_ec = tgt.irtng_elbe_bde_ec) or (src.irtng_elbe_bde_ec is null and tgt.irtng_elbe_bde_ec  is null ) then 1 else 0 end) irtng_elbe_bde_ec_count,
count(src.irtng_contract_id)-sum(case when (src.irtng_nominal_balance_bde_ec = tgt.irtng_nominal_balance_bde_ec) or (src.irtng_nominal_balance_bde_ec is null and tgt.irtng_nominal_balance_bde_ec  is null ) then 1 else 0 end) irtng_nominal_balance_bde_ec_count,
count(src.irtng_contract_id)-sum(case when (src.date_processed = tgt.date_processed) or (src.date_processed is null and tgt.date_processed  is null ) then 1 else 0 end) date_processed_count,
count(src.irtng_contract_id)-sum(case when (src.audt_execution_version = tgt.audt_execution_version) or (src.audt_execution_version is null and tgt.audt_execution_version  is null ) then 1 else 0 end) audt_execution_version_count,
count(src.irtng_contract_id)-sum(case when (src.load_process = tgt.load_process) or (src.load_process is null and tgt.load_process  is null ) then 1 else 0 end) load_process_count
from
(select * from prod_multi_entity_capital_enriched.main_internal_ratings_partitions
where date_processed='2024-12-31' and audt_execution_version='ACM2' and load_process='UPL_IRB') src
full outer join
(select * from prod_multi_entity_capital_enriched.main_internal_ratings_partitions
where date_processed='2024-12-31' and audt_execution_version='MCM7' and load_process='UPL_IRB') tgt
on src.irtng_contract_id = tgt.irtng_contract_id
group by date_processed, audt_execution_version;</t>
  </si>
  <si>
    <t>uplECB.lgd_reg</t>
  </si>
  <si>
    <t>uplECB.pd_reg</t>
  </si>
  <si>
    <t>uplECB.ead_reg_scalar</t>
  </si>
  <si>
    <t>uplECB.pd_pre_moc</t>
  </si>
  <si>
    <t>uplECB.lgd_eco</t>
  </si>
  <si>
    <t>uplECB.ead_eco_scalar</t>
  </si>
  <si>
    <t>Removed ES Model, Dependency and defaulted to null</t>
  </si>
  <si>
    <t>uplECB.elbe_reg</t>
  </si>
  <si>
    <t>uplECB.elbe_pre_moc</t>
  </si>
  <si>
    <t>Logic Code 1</t>
  </si>
  <si>
    <t>select</t>
  </si>
  <si>
    <t>irtng.date_processed,</t>
  </si>
  <si>
    <t>irtng.audt_execution_version,</t>
  </si>
  <si>
    <t>count(*),</t>
  </si>
  <si>
    <t>count(case when irtng.irtng_lgd_bde= irb2.irtng_lgd_bde then 1 end ) as match,</t>
  </si>
  <si>
    <t>count(irtng.irtng_contract_id)-sum(case when (irtng.irtng_lgd_bde = irb2.irtng_lgd_bde) or (irtng.irtng_lgd_bde is null and irb2.irtng_lgd_bde  is null ) then 1 else 0 end) irtng_lgd_bde_count,</t>
  </si>
  <si>
    <t>count(irtng.irtng_contract_id)-sum(case when (irtng.irtng_pd_bde = irb2.irtng_pd_bde) or (irtng.irtng_pd_bde is null and irb2.irtng_pd_bde  is null ) then 1 else 0 end) irtng_pd_bde_count,</t>
  </si>
  <si>
    <t>count(irtng.irtng_contract_id)-sum(case when (irtng.irtng_ccf_on_bal_bde = irb2.irtng_ccf_on_bal_bde) or (irtng.irtng_ccf_on_bal_bde is null and irb2.irtng_ccf_on_bal_bde  is null ) then 1 else 0 end) irtng_ccf_on_bal_bde_count,</t>
  </si>
  <si>
    <t>count(irtng.irtng_contract_id)-sum(case when (irtng.irtng_pd_bde_ec = irb2.irtng_pd_bde_ec) or (irtng.irtng_pd_bde_ec is null and irb2.irtng_pd_bde_ec  is null ) then 1 else 0 end) irtng_pd_bde_ec_count,</t>
  </si>
  <si>
    <t>count(irtng.irtng_contract_id)-sum(case when (irtng.irtng_lgd_bde_ec = irb2.irtng_lgd_bde_ec) or (irtng.irtng_lgd_bde_ec is null and irb2.irtng_lgd_bde_ec  is null ) then 1 else 0 end) irtng_lgd_bde_ec_count,</t>
  </si>
  <si>
    <t>count(irtng.irtng_contract_id)-sum(case when (irtng.irtng_on_bal_ccf_bde_ec = irb2.irtng_on_bal_ccf_bde_ec) or (irtng.irtng_on_bal_ccf_bde_ec is null and irb2.irtng_on_bal_ccf_bde_ec  is null ) then 1 else 0 end) irtng_on_bal_ccf_bde_ec_count,</t>
  </si>
  <si>
    <t>count(irtng.irtng_contract_id)-sum(case when (irtng.irtng_elbe_bde = irb2.irtng_elbe_bde) or (irtng.irtng_elbe_bde is null and irb2.irtng_elbe_bde  is null ) then 1 else 0 end) irtng_elbe_bde_count,</t>
  </si>
  <si>
    <t>count(irtng.irtng_contract_id)-sum(case when (irtng.irtng_elbe_bde_ec = irb2.irtng_elbe_bde_ec) or (irtng.irtng_elbe_bde_ec is null and irb2.irtng_elbe_bde_ec  is null ) then 1 else 0 end) irtng_elbe_bde_ec_count</t>
  </si>
  <si>
    <t>(select * from prod_multi_entity_capital_enriched.main_internal_ratings_partitions</t>
  </si>
  <si>
    <t>where date_processed='2024-12-31' and audt_execution_version='MCM7' and load_process='UPL_IRB') irtng</t>
  </si>
  <si>
    <t>join</t>
  </si>
  <si>
    <t>(select *,</t>
  </si>
  <si>
    <t>lgd_reg as irtng_lgd_bde,</t>
  </si>
  <si>
    <t>pd_reg as irtng_pd_bde,</t>
  </si>
  <si>
    <t>ead_reg_scalar as irtng_ccf_on_bal_bde,</t>
  </si>
  <si>
    <t>pd_pre_moc as irtng_pd_bde_ec,</t>
  </si>
  <si>
    <t>lgd_eco as irtng_lgd_bde_ec,</t>
  </si>
  <si>
    <t>ead_eco_scalar as irtng_on_bal_ccf_bde_ec,</t>
  </si>
  <si>
    <t>elbe_reg as irtng_elbe_bde,</t>
  </si>
  <si>
    <t>elbe_pre_moc as irtng_elbe_bde_ec</t>
  </si>
  <si>
    <t>from prod_retail_capital_enriched.upl_irb2_model_ecb_partitions</t>
  </si>
  <si>
    <t>where date_processed='2024-12-31' and audt_execution_version='MCM7') irb2</t>
  </si>
  <si>
    <t>on irtng.irtng_contract_id = irb2.cntr_contract_id</t>
  </si>
  <si>
    <t>group by date_processed, audt_execution_version;</t>
  </si>
  <si>
    <t>Results</t>
  </si>
  <si>
    <t>Logic Code 2</t>
  </si>
  <si>
    <t>Query from Jira 1599 (Base query for irb2 mapping check)</t>
  </si>
  <si>
    <t>count(case when b.ead_reg_scalar &lt;&gt; a.irtng_ccf_on_bal_bde then b.ead_reg_scalar &lt;&gt; a.irtng_ccf_on_bal_bde end) as "NOmatch_ead_reg_scalar",</t>
  </si>
  <si>
    <t>count(case when b.ead_reg_scalar = a.irtng_ccf_on_bal_bde then b.ead_reg_scalar = a.irtng_ccf_on_bal_bde end) as "match_ead_reg_scalar",</t>
  </si>
  <si>
    <t>count(case when b.pd_reg &lt;&gt; a.irtng_pd_bde then b.pd_reg &lt;&gt; a.irtng_pd_bde end) as "NOmatch_pd_reg",</t>
  </si>
  <si>
    <t>count(case when b.pd_reg = a.irtng_pd_bde then b.pd_reg = a.irtng_pd_bde end) as "match_pd_reg",</t>
  </si>
  <si>
    <t>count(case when b.lgd_reg &lt;&gt; a.irtng_lgd_bde then b.lgd_reg &lt;&gt; a.irtng_lgd_bde end) as "NOmatch_lgd_reg",</t>
  </si>
  <si>
    <t>count(case when b.lgd_reg = a.irtng_lgd_bde then b.lgd_reg = a.irtng_lgd_bde end) as "match_lgd_reg",</t>
  </si>
  <si>
    <t>count(case when b.elbe_reg &lt;&gt; a.irtng_elbe_bde then b.elbe_reg &lt;&gt; a.irtng_elbe_bde end) as "NOmatch_elbe_reg",</t>
  </si>
  <si>
    <t>count(case when b.elbe_reg = a.irtng_elbe_bde then b.elbe_reg = a.irtng_elbe_bde end) as "match_elbe_reg",</t>
  </si>
  <si>
    <t>count(case when b.ead_eco_scalar &lt;&gt; a.irtng_on_bal_ccf_bde_ec then b.ead_eco_scalar &lt;&gt; a.irtng_on_bal_ccf_bde_ec end) as "NOmatch_ead_eco_scalar",</t>
  </si>
  <si>
    <t>count(case when b.ead_eco_scalar = a.irtng_on_bal_ccf_bde_ec then b.ead_eco_scalar = a.irtng_on_bal_ccf_bde_ec end) as "match_ead_eco_scalar",</t>
  </si>
  <si>
    <t>count(case when b.lgd_eco &lt;&gt; a.irtng_lgd_bde_ec then b.lgd_eco &lt;&gt; a.irtng_lgd_bde_ec end) as "NOmatch_lgd_eco",</t>
  </si>
  <si>
    <t>count(case when b.lgd_eco = a.irtng_lgd_bde_ec then b.lgd_eco = a.irtng_lgd_bde_ec end) as "match_lgd_eco"</t>
  </si>
  <si>
    <t>from prod_multi_entity_capital_enriched.main_internal_ratings_partitions a</t>
  </si>
  <si>
    <t>join prod_retail_capital_enriched.upl_irb2_model_ecb_partitions b</t>
  </si>
  <si>
    <t>on a.irtng_contract_id = b.cntr_contract_id and a.date_processed = b.date_processed and a.audt_execution_version = b.audt_execution_version</t>
  </si>
  <si>
    <t>where a.date_processed = '2024-12-31' and a.audt_execution_version = 'MCM7';</t>
  </si>
  <si>
    <t>nomatch_ead_reg_scalar</t>
  </si>
  <si>
    <t>match_ead_reg_scalar</t>
  </si>
  <si>
    <t>nomatch_pd_reg</t>
  </si>
  <si>
    <t>match_pd_reg</t>
  </si>
  <si>
    <t>nomatch_lgd_reg</t>
  </si>
  <si>
    <t>match_lgd_reg</t>
  </si>
  <si>
    <t>nomatch_elbe_reg</t>
  </si>
  <si>
    <t>match_elbe_reg</t>
  </si>
  <si>
    <t>nomatch_ead_eco_scalar</t>
  </si>
  <si>
    <t>match_ead_eco_scalar</t>
  </si>
  <si>
    <t>nomatch_lgd_eco</t>
  </si>
  <si>
    <t>match_lgd_eco</t>
  </si>
  <si>
    <t>Logic Code 3: for upl_model_es columns</t>
  </si>
  <si>
    <t>select tgt.date_processed,tgt.audt_execution_version,src.audt_process_timestamp, tgt.audt_process_timestamp, count(*),</t>
  </si>
  <si>
    <t>count(case when src.irtng_ead_reg_bde = tgt.irtng_ead_reg_bde or ( src.irtng_ead_reg_bde is null and tgt.irtng_ead_reg_bde is null) then 1 end) as 'match tgt_irtng_ead_reg_bde and src_irtng_ead_reg_bde',</t>
  </si>
  <si>
    <t>count(case when src.irtng_ead_reg_bde &lt;&gt; tgt.irtng_ead_reg_bde then 1 end) as 'NO match tgt_irtng_ead_reg_bde and src_irtng_ead_reg_bde',</t>
  </si>
  <si>
    <t>count(case when src.irtng_ead_reg_bde is null and tgt.irtng_ead_reg_bde is not null then 1 end) as 'tgt_irtng_ead_reg_bde null src_irtng_ead_reg_bde Not null ',</t>
  </si>
  <si>
    <t>count(case when src.irtng_ead_reg_bde is not null and tgt.irtng_ead_reg_bde is null then 1 end) as 'tgt_irtng_ead_reg_bde NOT null src_irtng_ead_reg_bde null ',</t>
  </si>
  <si>
    <t>count(case when src.irtng_ead_on_bal_reg_bde = tgt.irtng_ead_on_bal_reg_bde or ( src.irtng_ead_on_bal_reg_bde is null and tgt.irtng_ead_on_bal_reg_bde is null) then 1 end) as 'match tgt_irtng_ead_on_bal_reg_bde and src_irtng_ead_on_bal_reg_bde',</t>
  </si>
  <si>
    <t>count(case when src.irtng_ead_on_bal_reg_bde &lt;&gt; tgt.irtng_ead_on_bal_reg_bde then 1 end) as 'NO match tgt_irtng_ead_on_bal_reg_bde and src_irtng_ead_on_bal_reg_bde',</t>
  </si>
  <si>
    <t>count(case when src.irtng_ead_on_bal_reg_bde is null and tgt.irtng_ead_on_bal_reg_bde is not null then 1 end) as 'tgt_irtng_ead_on_bal_reg_bde null src_irtng_ead_on_bal_reg_bde Not null ',</t>
  </si>
  <si>
    <t>count(case when src.irtng_ead_on_bal_reg_bde is not null and tgt.irtng_ead_on_bal_reg_bde is null then 1 end) as 'tgt_irtng_ead_on_bal_reg_bde NOT null src_irtng_ead_on_bal_reg_bde null '</t>
  </si>
  <si>
    <t>from prod_multi_entity_capital_enriched.main_internal_ratings_partitions</t>
  </si>
  <si>
    <t>where date_processed = '2024-12-31' and audt_execution_version ='ACM2' and load_process = "UPL_IRB")src</t>
  </si>
  <si>
    <t>full outer join</t>
  </si>
  <si>
    <t>where date_processed = '2024-12-31' and audt_execution_version ='MCM7' and load_process = "UPL_IRB" )tgt</t>
  </si>
  <si>
    <t>on src.irtng_contract_id= tgt.irtng_contract_id</t>
  </si>
  <si>
    <t>group by tgt.date_processed,tgt.audt_execution_version,src.audt_process_timestamp, tgt.audt_process_timestamp</t>
  </si>
  <si>
    <t>match tgt_irtng_ead_reg_bde and src_irtng_ead_reg_bde</t>
  </si>
  <si>
    <t>no match tgt_irtng_ead_reg_bde and src_irtng_ead_reg_bde</t>
  </si>
  <si>
    <t xml:space="preserve">tgt_irtng_ead_reg_bde null src_irtng_ead_reg_bde not null </t>
  </si>
  <si>
    <t xml:space="preserve">tgt_irtng_ead_reg_bde not null src_irtng_ead_reg_bde null </t>
  </si>
  <si>
    <t>match tgt_irtng_ead_on_bal_reg_bde and src_irtng_ead_on_bal_reg_bde</t>
  </si>
  <si>
    <t>no match tgt_irtng_ead_on_bal_reg_bde and src_irtng_ead_on_bal_reg_bde</t>
  </si>
  <si>
    <t xml:space="preserve">tgt_irtng_ead_on_bal_reg_bde null src_irtng_ead_on_bal_reg_bde not null </t>
  </si>
  <si>
    <t xml:space="preserve">tgt_irtng_ead_on_bal_reg_bde not null src_irtng_ead_on_bal_reg_bde null </t>
  </si>
  <si>
    <t>2025-01-07 17:17:17.178</t>
  </si>
  <si>
    <t>2025-06-23 15:16:00.198</t>
  </si>
  <si>
    <t>342613</t>
  </si>
  <si>
    <t>Defaulted to null</t>
  </si>
  <si>
    <t>Testing</t>
  </si>
  <si>
    <t>logic test new columns
regression test existing columns</t>
  </si>
  <si>
    <t xml:space="preserve">logic test new columns, testing carried out in DC2 due to volume of data required, then data copied to pre.  Mapping to risk score card fields for new scorecard data, as will not be passed through basel fields until go live.
</t>
  </si>
  <si>
    <t>logic test all code changes</t>
  </si>
  <si>
    <t>logic test - fields sourced from irb2.1 model</t>
  </si>
  <si>
    <t xml:space="preserve">
regression test each partition</t>
  </si>
  <si>
    <t>logic test mapping change to upl_bh_score, (includes upl lgd_reg uplift applied as part of IMI in IRB2.1 release)
regression test existing columns</t>
  </si>
  <si>
    <t>passed - expected differences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</si>
</sst>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Aptos Narrow"/>
      <family val="2"/>
      <scheme val="minor"/>
    </font>
    <font>
      <sz val="11"/>
      <color theme="1"/>
      <name val="Aptos Narrow"/>
      <family val="2"/>
      <scheme val="minor"/>
    </font>
    <font>
      <sz val="11"/>
      <color rgb="FF006100"/>
      <name val="Aptos Narrow"/>
      <family val="2"/>
      <scheme val="minor"/>
    </font>
    <font>
      <sz val="11"/>
      <color rgb="FF9C5700"/>
      <name val="Aptos Narrow"/>
      <family val="2"/>
      <scheme val="minor"/>
    </font>
    <font>
      <b/>
      <sz val="11"/>
      <color rgb="FF3F3F3F"/>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i/>
      <u/>
      <sz val="11"/>
      <color rgb="FFFF0000"/>
      <name val="Aptos Narrow"/>
      <family val="2"/>
      <scheme val="minor"/>
    </font>
    <font>
      <sz val="11"/>
      <color rgb="FF000000"/>
      <name val="Calibri"/>
      <family val="2"/>
    </font>
    <font>
      <b/>
      <sz val="11"/>
      <color rgb="FFFF0000"/>
      <name val="Aptos Narrow"/>
      <family val="2"/>
      <scheme val="minor"/>
    </font>
    <font>
      <b/>
      <sz val="11"/>
      <color rgb="FFFA7D00"/>
      <name val="Aptos Narrow"/>
      <family val="2"/>
      <scheme val="minor"/>
    </font>
    <font>
      <sz val="11"/>
      <color rgb="FF000000"/>
      <name val="Calibri"/>
    </font>
    <font>
      <sz val="11"/>
      <color theme="1"/>
      <name val="Aptos"/>
      <family val="2"/>
    </font>
    <font>
      <sz val="11"/>
      <color rgb="FFFFFFFF"/>
      <name val="Aptos Narrow"/>
      <family val="2"/>
    </font>
    <font>
      <sz val="11"/>
      <color rgb="FF000000"/>
      <name val="Aptos Narrow"/>
      <family val="2"/>
    </font>
    <font>
      <b/>
      <sz val="11"/>
      <color rgb="FF000000"/>
      <name val="Aptos Narrow"/>
      <family val="2"/>
    </font>
  </fonts>
  <fills count="8">
    <fill>
      <patternFill patternType="none"/>
    </fill>
    <fill>
      <patternFill patternType="gray125"/>
    </fill>
    <fill>
      <patternFill patternType="solid">
        <fgColor rgb="FFC6EFCE"/>
      </patternFill>
    </fill>
    <fill>
      <patternFill patternType="solid">
        <fgColor rgb="FFFFEB9C"/>
      </patternFill>
    </fill>
    <fill>
      <patternFill patternType="solid">
        <fgColor rgb="FFF2F2F2"/>
      </patternFill>
    </fill>
    <fill>
      <patternFill patternType="solid">
        <fgColor theme="0" tint="-0.499984740745262"/>
        <bgColor indexed="64"/>
      </patternFill>
    </fill>
    <fill>
      <patternFill patternType="solid">
        <fgColor rgb="FFFF0000"/>
        <bgColor indexed="64"/>
      </patternFill>
    </fill>
    <fill>
      <patternFill patternType="solid">
        <fgColor rgb="FFD9D9D9"/>
        <bgColor indexed="64"/>
      </patternFill>
    </fill>
  </fills>
  <borders count="26">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3F3F3F"/>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indexed="64"/>
      </left>
      <right style="thin">
        <color indexed="64"/>
      </right>
      <top style="thin">
        <color indexed="64"/>
      </top>
      <bottom/>
      <diagonal/>
    </border>
    <border>
      <left style="thin">
        <color rgb="FF3F3F3F"/>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top/>
      <bottom style="medium">
        <color indexed="64"/>
      </bottom>
      <diagonal/>
    </border>
  </borders>
  <cellStyleXfs count="6">
    <xf numFmtId="0" fontId="0" fillId="0" borderId="0"/>
    <xf numFmtId="9"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11" fillId="4" borderId="17" applyNumberFormat="0" applyAlignment="0" applyProtection="0"/>
  </cellStyleXfs>
  <cellXfs count="129">
    <xf numFmtId="0" fontId="0" fillId="0" borderId="0" xfId="0"/>
    <xf numFmtId="0" fontId="7" fillId="5" borderId="0" xfId="0" applyFont="1" applyFill="1"/>
    <xf numFmtId="0" fontId="8" fillId="0" borderId="0" xfId="0" applyFont="1"/>
    <xf numFmtId="0" fontId="7" fillId="6" borderId="0" xfId="0" applyFont="1" applyFill="1"/>
    <xf numFmtId="0" fontId="0" fillId="0" borderId="2" xfId="0" applyBorder="1"/>
    <xf numFmtId="14" fontId="0" fillId="0" borderId="2" xfId="0" applyNumberFormat="1" applyBorder="1"/>
    <xf numFmtId="0" fontId="2" fillId="2" borderId="2" xfId="2" applyBorder="1"/>
    <xf numFmtId="0" fontId="3" fillId="3" borderId="2" xfId="3" applyBorder="1"/>
    <xf numFmtId="0" fontId="0" fillId="0" borderId="3" xfId="0" applyBorder="1"/>
    <xf numFmtId="10" fontId="0" fillId="0" borderId="3" xfId="1" applyNumberFormat="1" applyFont="1" applyBorder="1"/>
    <xf numFmtId="164" fontId="9" fillId="0" borderId="3" xfId="0" applyNumberFormat="1" applyFont="1" applyBorder="1" applyAlignment="1">
      <alignment horizontal="left"/>
    </xf>
    <xf numFmtId="0" fontId="0" fillId="0" borderId="4" xfId="0" applyBorder="1"/>
    <xf numFmtId="10" fontId="0" fillId="0" borderId="4" xfId="1" applyNumberFormat="1" applyFont="1" applyBorder="1"/>
    <xf numFmtId="164" fontId="9" fillId="0" borderId="4" xfId="0" applyNumberFormat="1" applyFont="1" applyBorder="1" applyAlignment="1">
      <alignment horizontal="left"/>
    </xf>
    <xf numFmtId="49" fontId="0" fillId="0" borderId="4" xfId="0" applyNumberFormat="1" applyBorder="1"/>
    <xf numFmtId="49" fontId="9" fillId="0" borderId="4" xfId="0" applyNumberFormat="1" applyFont="1" applyBorder="1" applyAlignment="1">
      <alignment horizontal="left"/>
    </xf>
    <xf numFmtId="49" fontId="9" fillId="0" borderId="4" xfId="0" applyNumberFormat="1" applyFont="1" applyBorder="1"/>
    <xf numFmtId="2" fontId="9" fillId="0" borderId="4" xfId="0" applyNumberFormat="1" applyFont="1" applyBorder="1" applyAlignment="1">
      <alignment horizontal="right"/>
    </xf>
    <xf numFmtId="2" fontId="0" fillId="0" borderId="4" xfId="1" applyNumberFormat="1" applyFont="1" applyBorder="1" applyAlignment="1">
      <alignment horizontal="right"/>
    </xf>
    <xf numFmtId="49" fontId="0" fillId="0" borderId="0" xfId="0" applyNumberFormat="1"/>
    <xf numFmtId="0" fontId="10" fillId="0" borderId="2" xfId="0" applyFont="1" applyBorder="1"/>
    <xf numFmtId="0" fontId="10" fillId="0" borderId="0" xfId="0" applyFont="1"/>
    <xf numFmtId="0" fontId="0" fillId="0" borderId="0" xfId="0" applyAlignment="1">
      <alignment horizontal="left" vertical="top" wrapText="1"/>
    </xf>
    <xf numFmtId="0" fontId="0" fillId="6" borderId="0" xfId="0" applyFill="1"/>
    <xf numFmtId="0" fontId="3" fillId="3" borderId="0" xfId="3"/>
    <xf numFmtId="0" fontId="2" fillId="2" borderId="0" xfId="2"/>
    <xf numFmtId="0" fontId="4" fillId="4" borderId="1" xfId="4"/>
    <xf numFmtId="10" fontId="0" fillId="0" borderId="3" xfId="0" applyNumberFormat="1" applyBorder="1"/>
    <xf numFmtId="10" fontId="0" fillId="0" borderId="2" xfId="0" applyNumberFormat="1" applyBorder="1"/>
    <xf numFmtId="10" fontId="0" fillId="0" borderId="2" xfId="1" applyNumberFormat="1" applyFont="1" applyBorder="1"/>
    <xf numFmtId="164" fontId="9" fillId="0" borderId="2" xfId="0" applyNumberFormat="1" applyFont="1" applyBorder="1" applyAlignment="1">
      <alignment horizontal="left"/>
    </xf>
    <xf numFmtId="0" fontId="9" fillId="0" borderId="2" xfId="0" applyFont="1" applyBorder="1"/>
    <xf numFmtId="49" fontId="0" fillId="0" borderId="2" xfId="0" applyNumberFormat="1" applyBorder="1"/>
    <xf numFmtId="49" fontId="3" fillId="3" borderId="2" xfId="3" applyNumberFormat="1" applyBorder="1"/>
    <xf numFmtId="0" fontId="3" fillId="3" borderId="2" xfId="3" applyNumberFormat="1" applyBorder="1"/>
    <xf numFmtId="49" fontId="0" fillId="0" borderId="7" xfId="0" applyNumberFormat="1" applyBorder="1"/>
    <xf numFmtId="0" fontId="5" fillId="6" borderId="0" xfId="0" applyFont="1" applyFill="1"/>
    <xf numFmtId="49" fontId="3" fillId="3" borderId="0" xfId="3" applyNumberFormat="1"/>
    <xf numFmtId="0" fontId="2" fillId="2" borderId="2" xfId="2" applyNumberFormat="1" applyBorder="1"/>
    <xf numFmtId="0" fontId="2" fillId="2" borderId="0" xfId="2" applyNumberFormat="1"/>
    <xf numFmtId="0" fontId="6" fillId="0" borderId="2" xfId="0" applyFont="1" applyBorder="1"/>
    <xf numFmtId="49" fontId="0" fillId="0" borderId="2" xfId="1" applyNumberFormat="1" applyFont="1" applyBorder="1"/>
    <xf numFmtId="49" fontId="9" fillId="0" borderId="2" xfId="0" applyNumberFormat="1" applyFont="1" applyBorder="1" applyAlignment="1">
      <alignment horizontal="left"/>
    </xf>
    <xf numFmtId="49" fontId="9" fillId="0" borderId="2" xfId="0" applyNumberFormat="1" applyFont="1" applyBorder="1"/>
    <xf numFmtId="49" fontId="9" fillId="0" borderId="2" xfId="0" applyNumberFormat="1" applyFont="1" applyBorder="1" applyAlignment="1">
      <alignment horizontal="right"/>
    </xf>
    <xf numFmtId="0" fontId="9" fillId="0" borderId="2" xfId="0" applyFont="1" applyBorder="1" applyAlignment="1">
      <alignment horizontal="right"/>
    </xf>
    <xf numFmtId="0" fontId="0" fillId="0" borderId="2" xfId="1" applyNumberFormat="1" applyFont="1" applyBorder="1" applyAlignment="1">
      <alignment horizontal="right"/>
    </xf>
    <xf numFmtId="0" fontId="0" fillId="0" borderId="2" xfId="1" applyNumberFormat="1" applyFont="1" applyBorder="1"/>
    <xf numFmtId="10" fontId="3" fillId="3" borderId="3" xfId="3" applyNumberFormat="1" applyBorder="1"/>
    <xf numFmtId="14" fontId="0" fillId="0" borderId="0" xfId="0" applyNumberFormat="1"/>
    <xf numFmtId="0" fontId="3" fillId="3" borderId="1" xfId="3" applyBorder="1"/>
    <xf numFmtId="10" fontId="0" fillId="0" borderId="0" xfId="0" applyNumberFormat="1"/>
    <xf numFmtId="49" fontId="0" fillId="0" borderId="9" xfId="0" applyNumberFormat="1" applyBorder="1"/>
    <xf numFmtId="49" fontId="0" fillId="0" borderId="10" xfId="0" applyNumberFormat="1" applyBorder="1"/>
    <xf numFmtId="49" fontId="0" fillId="0" borderId="11" xfId="0" applyNumberFormat="1" applyBorder="1"/>
    <xf numFmtId="49" fontId="0" fillId="0" borderId="12" xfId="0" applyNumberFormat="1" applyBorder="1"/>
    <xf numFmtId="49" fontId="0" fillId="0" borderId="13" xfId="0" applyNumberFormat="1" applyBorder="1"/>
    <xf numFmtId="49" fontId="0" fillId="0" borderId="14" xfId="0" applyNumberFormat="1" applyBorder="1"/>
    <xf numFmtId="0" fontId="3" fillId="3" borderId="0" xfId="3" applyNumberFormat="1"/>
    <xf numFmtId="49" fontId="7" fillId="6" borderId="0" xfId="0" applyNumberFormat="1" applyFont="1" applyFill="1"/>
    <xf numFmtId="49" fontId="0" fillId="0" borderId="15" xfId="0" applyNumberFormat="1" applyBorder="1"/>
    <xf numFmtId="49" fontId="0" fillId="0" borderId="16" xfId="0" applyNumberFormat="1" applyBorder="1"/>
    <xf numFmtId="0" fontId="2" fillId="2" borderId="0" xfId="2" applyNumberFormat="1" applyAlignment="1"/>
    <xf numFmtId="0" fontId="0" fillId="0" borderId="13" xfId="0" applyBorder="1"/>
    <xf numFmtId="164" fontId="12" fillId="0" borderId="3" xfId="0" applyNumberFormat="1" applyFont="1" applyBorder="1" applyAlignment="1">
      <alignment horizontal="left"/>
    </xf>
    <xf numFmtId="49" fontId="12" fillId="0" borderId="4" xfId="0" applyNumberFormat="1" applyFont="1" applyBorder="1" applyAlignment="1">
      <alignment horizontal="left"/>
    </xf>
    <xf numFmtId="49" fontId="12" fillId="0" borderId="4" xfId="0" applyNumberFormat="1" applyFont="1" applyBorder="1"/>
    <xf numFmtId="2" fontId="12" fillId="0" borderId="4" xfId="0" applyNumberFormat="1" applyFont="1" applyBorder="1" applyAlignment="1">
      <alignment horizontal="right"/>
    </xf>
    <xf numFmtId="49" fontId="0" fillId="0" borderId="4" xfId="1" applyNumberFormat="1" applyFont="1" applyBorder="1"/>
    <xf numFmtId="49" fontId="9" fillId="0" borderId="4" xfId="0" applyNumberFormat="1" applyFont="1" applyBorder="1" applyAlignment="1">
      <alignment horizontal="right"/>
    </xf>
    <xf numFmtId="49" fontId="0" fillId="0" borderId="4" xfId="1" applyNumberFormat="1" applyFont="1" applyBorder="1" applyAlignment="1">
      <alignment horizontal="right"/>
    </xf>
    <xf numFmtId="0" fontId="9" fillId="0" borderId="4" xfId="0" applyFont="1" applyBorder="1"/>
    <xf numFmtId="0" fontId="9" fillId="0" borderId="4" xfId="0" applyFont="1" applyBorder="1" applyAlignment="1">
      <alignment horizontal="right"/>
    </xf>
    <xf numFmtId="0" fontId="0" fillId="0" borderId="4" xfId="1" applyNumberFormat="1" applyFont="1" applyBorder="1" applyAlignment="1">
      <alignment horizontal="right"/>
    </xf>
    <xf numFmtId="0" fontId="0" fillId="0" borderId="4" xfId="1" applyNumberFormat="1" applyFont="1" applyBorder="1"/>
    <xf numFmtId="49" fontId="0" fillId="0" borderId="3" xfId="0" applyNumberFormat="1" applyBorder="1"/>
    <xf numFmtId="49" fontId="0" fillId="0" borderId="3" xfId="1" applyNumberFormat="1" applyFont="1" applyBorder="1"/>
    <xf numFmtId="49" fontId="9" fillId="0" borderId="3" xfId="0" applyNumberFormat="1" applyFont="1" applyBorder="1" applyAlignment="1">
      <alignment horizontal="left"/>
    </xf>
    <xf numFmtId="49" fontId="12" fillId="0" borderId="3" xfId="0" applyNumberFormat="1" applyFont="1" applyBorder="1" applyAlignment="1">
      <alignment horizontal="left"/>
    </xf>
    <xf numFmtId="49" fontId="12" fillId="0" borderId="3" xfId="0" applyNumberFormat="1" applyFont="1" applyBorder="1"/>
    <xf numFmtId="2" fontId="12" fillId="0" borderId="3" xfId="0" applyNumberFormat="1" applyFont="1" applyBorder="1" applyAlignment="1">
      <alignment horizontal="right"/>
    </xf>
    <xf numFmtId="0" fontId="11" fillId="4" borderId="17" xfId="5"/>
    <xf numFmtId="0" fontId="0" fillId="0" borderId="18" xfId="0" applyBorder="1"/>
    <xf numFmtId="0" fontId="0" fillId="0" borderId="19" xfId="0" applyBorder="1"/>
    <xf numFmtId="0" fontId="0" fillId="0" borderId="7" xfId="0" applyBorder="1"/>
    <xf numFmtId="10" fontId="12" fillId="0" borderId="3" xfId="0" applyNumberFormat="1" applyFont="1" applyBorder="1"/>
    <xf numFmtId="49" fontId="12" fillId="0" borderId="2" xfId="0" applyNumberFormat="1" applyFont="1" applyBorder="1" applyAlignment="1">
      <alignment horizontal="left"/>
    </xf>
    <xf numFmtId="49" fontId="12" fillId="0" borderId="2" xfId="0" applyNumberFormat="1" applyFont="1" applyBorder="1"/>
    <xf numFmtId="10" fontId="12" fillId="0" borderId="2" xfId="0" applyNumberFormat="1" applyFont="1" applyBorder="1"/>
    <xf numFmtId="10" fontId="12" fillId="0" borderId="2" xfId="0" applyNumberFormat="1" applyFont="1" applyBorder="1" applyAlignment="1">
      <alignment horizontal="right"/>
    </xf>
    <xf numFmtId="0" fontId="2" fillId="2" borderId="2" xfId="2" applyNumberFormat="1" applyBorder="1" applyAlignment="1"/>
    <xf numFmtId="1" fontId="9" fillId="0" borderId="4" xfId="0" applyNumberFormat="1" applyFont="1" applyBorder="1" applyAlignment="1">
      <alignment horizontal="right"/>
    </xf>
    <xf numFmtId="1" fontId="0" fillId="0" borderId="4" xfId="1" applyNumberFormat="1" applyFont="1" applyBorder="1" applyAlignment="1">
      <alignment horizontal="right"/>
    </xf>
    <xf numFmtId="1" fontId="0" fillId="0" borderId="4" xfId="1" applyNumberFormat="1" applyFont="1" applyBorder="1"/>
    <xf numFmtId="1" fontId="0" fillId="0" borderId="4" xfId="0" applyNumberFormat="1" applyBorder="1"/>
    <xf numFmtId="1" fontId="0" fillId="0" borderId="0" xfId="0" applyNumberFormat="1"/>
    <xf numFmtId="0" fontId="2" fillId="2" borderId="18" xfId="2" applyNumberFormat="1" applyBorder="1" applyAlignment="1"/>
    <xf numFmtId="0" fontId="13" fillId="0" borderId="0" xfId="0" applyFont="1" applyAlignment="1">
      <alignment vertical="center"/>
    </xf>
    <xf numFmtId="0" fontId="14" fillId="6" borderId="20" xfId="0" applyFont="1" applyFill="1" applyBorder="1" applyAlignment="1">
      <alignment vertical="center" wrapText="1"/>
    </xf>
    <xf numFmtId="0" fontId="15" fillId="7" borderId="21" xfId="0" applyFont="1" applyFill="1" applyBorder="1" applyAlignment="1">
      <alignment vertical="center" wrapText="1"/>
    </xf>
    <xf numFmtId="0" fontId="15" fillId="0" borderId="0" xfId="0" applyFont="1" applyAlignment="1">
      <alignment vertical="center" wrapText="1"/>
    </xf>
    <xf numFmtId="0" fontId="15" fillId="0" borderId="22" xfId="0" applyFont="1" applyBorder="1" applyAlignment="1">
      <alignment vertical="center" wrapText="1"/>
    </xf>
    <xf numFmtId="0" fontId="0" fillId="0" borderId="22" xfId="0" applyBorder="1" applyAlignment="1">
      <alignment vertical="top" wrapText="1"/>
    </xf>
    <xf numFmtId="0" fontId="0" fillId="0" borderId="21" xfId="0" applyBorder="1" applyAlignment="1">
      <alignment vertical="top" wrapText="1"/>
    </xf>
    <xf numFmtId="0" fontId="16" fillId="7" borderId="20" xfId="0" applyFont="1" applyFill="1" applyBorder="1" applyAlignment="1">
      <alignment vertical="center" wrapText="1"/>
    </xf>
    <xf numFmtId="0" fontId="15" fillId="0" borderId="21" xfId="0" applyFont="1" applyBorder="1" applyAlignment="1">
      <alignment vertical="center" wrapText="1"/>
    </xf>
    <xf numFmtId="47" fontId="0" fillId="0" borderId="0" xfId="0" applyNumberFormat="1"/>
    <xf numFmtId="49" fontId="12" fillId="0" borderId="0" xfId="0" applyNumberFormat="1" applyFont="1" applyAlignment="1">
      <alignment horizontal="left"/>
    </xf>
    <xf numFmtId="49" fontId="12" fillId="0" borderId="0" xfId="0" applyNumberFormat="1" applyFont="1"/>
    <xf numFmtId="2" fontId="12" fillId="0" borderId="0" xfId="0" applyNumberFormat="1" applyFont="1" applyAlignment="1">
      <alignment horizontal="right"/>
    </xf>
    <xf numFmtId="10" fontId="0" fillId="0" borderId="0" xfId="1" applyNumberFormat="1" applyFont="1" applyBorder="1"/>
    <xf numFmtId="0" fontId="15" fillId="0" borderId="23" xfId="0" applyFont="1" applyBorder="1" applyAlignment="1">
      <alignment vertical="center" wrapText="1"/>
    </xf>
    <xf numFmtId="0" fontId="15" fillId="0" borderId="22" xfId="0" applyFont="1" applyBorder="1" applyAlignment="1">
      <alignment vertical="center" wrapText="1"/>
    </xf>
    <xf numFmtId="0" fontId="15" fillId="0" borderId="21" xfId="0" applyFont="1" applyBorder="1" applyAlignment="1">
      <alignment vertical="center" wrapText="1"/>
    </xf>
    <xf numFmtId="0" fontId="4" fillId="4" borderId="1" xfId="4" applyAlignment="1">
      <alignment horizontal="left" wrapText="1"/>
    </xf>
    <xf numFmtId="0" fontId="0" fillId="0" borderId="0" xfId="0" applyAlignment="1">
      <alignment horizontal="left" vertical="top" wrapText="1"/>
    </xf>
    <xf numFmtId="0" fontId="4" fillId="4" borderId="1" xfId="4" applyAlignment="1">
      <alignment wrapText="1"/>
    </xf>
    <xf numFmtId="0" fontId="4" fillId="4" borderId="1" xfId="4" applyAlignment="1"/>
    <xf numFmtId="0" fontId="4" fillId="4" borderId="5" xfId="4" applyBorder="1" applyAlignment="1">
      <alignment horizontal="left" wrapText="1"/>
    </xf>
    <xf numFmtId="0" fontId="4" fillId="4" borderId="6" xfId="4" applyBorder="1" applyAlignment="1">
      <alignment horizontal="left"/>
    </xf>
    <xf numFmtId="0" fontId="4" fillId="4" borderId="8" xfId="4" applyBorder="1" applyAlignment="1">
      <alignment horizontal="left" wrapText="1"/>
    </xf>
    <xf numFmtId="0" fontId="4" fillId="4" borderId="0" xfId="4" applyBorder="1" applyAlignment="1">
      <alignment horizontal="left" wrapText="1"/>
    </xf>
    <xf numFmtId="0" fontId="6" fillId="0" borderId="0" xfId="0" applyFont="1"/>
    <xf numFmtId="0" fontId="14" fillId="6" borderId="24" xfId="0" applyFont="1" applyFill="1" applyBorder="1" applyAlignment="1">
      <alignment vertical="center" wrapText="1"/>
    </xf>
    <xf numFmtId="0" fontId="0" fillId="0" borderId="2" xfId="0" applyBorder="1" applyAlignment="1">
      <alignment horizontal="left" vertical="top"/>
    </xf>
    <xf numFmtId="0" fontId="14" fillId="7" borderId="25" xfId="0" applyFont="1" applyFill="1" applyBorder="1" applyAlignment="1">
      <alignment vertical="center" wrapText="1"/>
    </xf>
    <xf numFmtId="0" fontId="0" fillId="0" borderId="2" xfId="0" applyBorder="1" applyAlignment="1">
      <alignment horizontal="left" vertical="top" wrapText="1"/>
    </xf>
    <xf numFmtId="0" fontId="15" fillId="0" borderId="25" xfId="0" applyFont="1" applyBorder="1" applyAlignment="1">
      <alignment vertical="center" wrapText="1"/>
    </xf>
    <xf numFmtId="0" fontId="15" fillId="7" borderId="24" xfId="0" applyFont="1" applyFill="1" applyBorder="1" applyAlignment="1">
      <alignment vertical="center" wrapText="1"/>
    </xf>
  </cellXfs>
  <cellStyles count="6">
    <cellStyle name="Calculation" xfId="5" builtinId="22"/>
    <cellStyle name="Good" xfId="2" builtinId="26"/>
    <cellStyle name="Neutral" xfId="3" builtinId="28"/>
    <cellStyle name="Normal" xfId="0" builtinId="0"/>
    <cellStyle name="Output" xfId="4" builtinId="21"/>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12700</xdr:colOff>
      <xdr:row>15</xdr:row>
      <xdr:rowOff>133350</xdr:rowOff>
    </xdr:from>
    <xdr:to>
      <xdr:col>14</xdr:col>
      <xdr:colOff>12700</xdr:colOff>
      <xdr:row>17</xdr:row>
      <xdr:rowOff>6350</xdr:rowOff>
    </xdr:to>
    <xdr:sp macro="" textlink="">
      <xdr:nvSpPr>
        <xdr:cNvPr id="2" name="TextBox 1">
          <a:extLst>
            <a:ext uri="{FF2B5EF4-FFF2-40B4-BE49-F238E27FC236}">
              <a16:creationId xmlns:a16="http://schemas.microsoft.com/office/drawing/2014/main" id="{607FBD24-E7B9-B11F-991D-96335CFB9859}"/>
            </a:ext>
          </a:extLst>
        </xdr:cNvPr>
        <xdr:cNvSpPr txBox="1"/>
      </xdr:nvSpPr>
      <xdr:spPr>
        <a:xfrm>
          <a:off x="3092450" y="2895600"/>
          <a:ext cx="15722600" cy="234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select count(*),exp.date_processed,exp.model, prod.audt_process_timestamp,</a:t>
          </a:r>
        </a:p>
        <a:p>
          <a:r>
            <a:rPr lang="en-GB" sz="1100"/>
            <a:t>exp.audt_process_timestamp, prod.audt_execution_version,</a:t>
          </a:r>
        </a:p>
        <a:p>
          <a:r>
            <a:rPr lang="en-GB" sz="1100"/>
            <a:t>count(case when prod.contract_source_system = exp.contract_source_system oprod.contract_source_system is null and exp.contract_source_system is null) then 1 end) as 'match contract_source_system', </a:t>
          </a:r>
        </a:p>
        <a:p>
          <a:r>
            <a:rPr lang="en-GB" sz="1100"/>
            <a:t>count(case when prod.contract_source_system &lt;&gt; exp.contract_source_system then 1 end) as 'NO match contract_source_system', </a:t>
          </a:r>
        </a:p>
        <a:p>
          <a:r>
            <a:rPr lang="en-GB" sz="1100"/>
            <a:t>count(case when prod.contract_source_system is null and exp.contract_source_system is not null then 1 end) as 'prod null exp Not null contract_source_system', </a:t>
          </a:r>
        </a:p>
        <a:p>
          <a:r>
            <a:rPr lang="en-GB" sz="1100"/>
            <a:t>count(case when prod.contract_source_system is not null and exp.contract_source_system is null then 1 end) as 'prod NOT null exp null contract_source_system',</a:t>
          </a:r>
        </a:p>
        <a:p>
          <a:r>
            <a:rPr lang="en-GB" sz="1100"/>
            <a:t>count(case when prod.cntr_contract_id = exp.cntr_contract_id or ( prod.cntr_contract_id is null and exp.cntr_contract_id is null) then 1 end) as 'match cntr_contract_id', </a:t>
          </a:r>
        </a:p>
        <a:p>
          <a:r>
            <a:rPr lang="en-GB" sz="1100"/>
            <a:t>count(case when prod.cntr_contract_id &lt;&gt; exp.cntr_contract_id then 1 end) as 'NO match cntr_contract_id', </a:t>
          </a:r>
        </a:p>
        <a:p>
          <a:r>
            <a:rPr lang="en-GB" sz="1100"/>
            <a:t>count(case when prod.cntr_contract_id is null and exp.cntr_contract_id is not null then 1 end) as 'prod null exp Not null cntr_contract_id', </a:t>
          </a:r>
        </a:p>
        <a:p>
          <a:r>
            <a:rPr lang="en-GB" sz="1100"/>
            <a:t>count(case when prod.cntr_contract_id is not null and exp.cntr_contract_id is null then 1 end) as 'prod NOT null exp null cntr_contract_id',</a:t>
          </a:r>
        </a:p>
        <a:p>
          <a:r>
            <a:rPr lang="en-GB" sz="1100"/>
            <a:t>count(case when prod.holding_reference = exp.holding_reference or ( prod.holding_reference is null and exp.holding_reference is null) then 1 end) as 'match holding_reference', </a:t>
          </a:r>
        </a:p>
        <a:p>
          <a:r>
            <a:rPr lang="en-GB" sz="1100"/>
            <a:t>count(case when prod.holding_reference &lt;&gt; exp.holding_reference then 1 end) as 'NO match holding_reference', </a:t>
          </a:r>
        </a:p>
        <a:p>
          <a:r>
            <a:rPr lang="en-GB" sz="1100"/>
            <a:t>count(case when prod.holding_reference is null and exp.holding_reference is not null then 1 end) as 'prod null exp Not null holding_reference', </a:t>
          </a:r>
        </a:p>
        <a:p>
          <a:r>
            <a:rPr lang="en-GB" sz="1100"/>
            <a:t>count(case when prod.holding_reference is not null and exp.holding_reference is null then 1 end) as 'prod NOT null exp null holding_reference',</a:t>
          </a:r>
        </a:p>
        <a:p>
          <a:r>
            <a:rPr lang="en-GB" sz="1100"/>
            <a:t>count(case when prod.arrears_balance_amt = exp.arrears_balance_amt or ( prod.arrears_balance_amt is null and exp.arrears_balance_amt is null) then 1 end) as 'match arrears_balance_amt', </a:t>
          </a:r>
        </a:p>
        <a:p>
          <a:r>
            <a:rPr lang="en-GB" sz="1100"/>
            <a:t>count(case when prod.arrears_balance_amt &lt;&gt; exp.arrears_balance_amt then 1 end) as 'NO match arrears_balance_amt', </a:t>
          </a:r>
        </a:p>
        <a:p>
          <a:r>
            <a:rPr lang="en-GB" sz="1100"/>
            <a:t>count(case when prod.arrears_balance_amt is null and exp.arrears_balance_amt is not null then 1 end) as 'prod null exp Not null arrears_balance_amt', </a:t>
          </a:r>
        </a:p>
        <a:p>
          <a:r>
            <a:rPr lang="en-GB" sz="1100"/>
            <a:t>count(case when prod.arrears_balance_amt is not null and exp.arrears_balance_amt is null then 1 end) as 'prod NOT null exp null arrears_balance_amt',</a:t>
          </a:r>
        </a:p>
        <a:p>
          <a:r>
            <a:rPr lang="en-GB" sz="1100"/>
            <a:t>count(case when prod.cad_12m_count = exp.cad_12m_count or ( prod.cad_12m_count is null and exp.cad_12m_count is null) then 1 end) as 'match cad_12m_count', </a:t>
          </a:r>
        </a:p>
        <a:p>
          <a:r>
            <a:rPr lang="en-GB" sz="1100"/>
            <a:t>count(case when prod.cad_12m_count &lt;&gt; exp.cad_12m_count then 1 end) as 'NO match cad_12m_count', </a:t>
          </a:r>
        </a:p>
        <a:p>
          <a:r>
            <a:rPr lang="en-GB" sz="1100"/>
            <a:t>count(case when prod.cad_12m_count is null and exp.cad_12m_count is not null then 1 end) as 'prod null exp Not null cad_12m_count', </a:t>
          </a:r>
        </a:p>
        <a:p>
          <a:r>
            <a:rPr lang="en-GB" sz="1100"/>
            <a:t>count(case when prod.cad_12m_count is not null and exp.cad_12m_count is null then 1 end) as 'prod NOT null exp null cad_12m_count',</a:t>
          </a:r>
        </a:p>
        <a:p>
          <a:r>
            <a:rPr lang="en-GB" sz="1100"/>
            <a:t>count(case when prod.cai_1m_flag = exp.cai_1m_flag or ( prod.cai_1m_flag is null and exp.cai_1m_flag is null) then 1 end) as 'match cai_1m_flag', </a:t>
          </a:r>
        </a:p>
        <a:p>
          <a:r>
            <a:rPr lang="en-GB" sz="1100"/>
            <a:t>count(case when prod.cai_1m_flag &lt;&gt; exp.cai_1m_flag then 1 end) as 'NO match cai_1m_flag', </a:t>
          </a:r>
        </a:p>
        <a:p>
          <a:r>
            <a:rPr lang="en-GB" sz="1100"/>
            <a:t>count(case when prod.cai_1m_flag is null and exp.cai_1m_flag is not null then 1 end) as 'prod null exp Not null cai_1m_flag', </a:t>
          </a:r>
        </a:p>
        <a:p>
          <a:r>
            <a:rPr lang="en-GB" sz="1100"/>
            <a:t>count(case when prod.cai_1m_flag is not null and exp.cai_1m_flag is null then 1 end) as 'prod NOT null exp null cai_1m_flag',</a:t>
          </a:r>
        </a:p>
        <a:p>
          <a:r>
            <a:rPr lang="en-GB" sz="1100"/>
            <a:t>count(case when prod.cust_age_max = exp.cust_age_max or ( prod.cust_age_max is null and exp.cust_age_max is null) then 1 end) as 'match cust_age_max', </a:t>
          </a:r>
        </a:p>
        <a:p>
          <a:r>
            <a:rPr lang="en-GB" sz="1100"/>
            <a:t>count(case when prod.cust_age_max &lt;&gt; exp.cust_age_max then 1 end) as 'NO match cust_age_max', </a:t>
          </a:r>
        </a:p>
        <a:p>
          <a:r>
            <a:rPr lang="en-GB" sz="1100"/>
            <a:t>count(case when prod.cust_age_max is null and exp.cust_age_max is not null then 1 end) as 'prod null exp Not null cust_age_max', </a:t>
          </a:r>
        </a:p>
        <a:p>
          <a:r>
            <a:rPr lang="en-GB" sz="1100"/>
            <a:t>count(case when prod.cust_age_max is not null and exp.cust_age_max is null then 1 end) as 'prod NOT null exp null cust_age_max',</a:t>
          </a:r>
        </a:p>
        <a:p>
          <a:r>
            <a:rPr lang="en-GB" sz="1100"/>
            <a:t>count(case when prod.loan_term = exp.loan_term or ( prod.loan_term is null and exp.loan_term is null) then 1 end) as 'match loan_term', </a:t>
          </a:r>
        </a:p>
        <a:p>
          <a:r>
            <a:rPr lang="en-GB" sz="1100"/>
            <a:t>count(case when prod.loan_term &lt;&gt; exp.loan_term then 1 end) as 'NO match loan_term', </a:t>
          </a:r>
        </a:p>
        <a:p>
          <a:r>
            <a:rPr lang="en-GB" sz="1100"/>
            <a:t>count(case when prod.loan_term is null and exp.loan_term is not null then 1 end) as 'prod null exp Not null loan_term', </a:t>
          </a:r>
        </a:p>
        <a:p>
          <a:r>
            <a:rPr lang="en-GB" sz="1100"/>
            <a:t>count(case when prod.loan_term is not null and exp.loan_term is null then 1 end) as 'prod NOT null exp null loan_term',</a:t>
          </a:r>
        </a:p>
        <a:p>
          <a:r>
            <a:rPr lang="en-GB" sz="1100"/>
            <a:t>count(case when prod.mnths_remaining_term = exp.mnths_remaining_term or ( prod.mnths_remaining_term is null and exp.mnths_remaining_term is null) then 1 end) as 'match mnths_remaining_term', </a:t>
          </a:r>
        </a:p>
        <a:p>
          <a:r>
            <a:rPr lang="en-GB" sz="1100"/>
            <a:t>count(case when prod.mnths_remaining_term &lt;&gt; exp.mnths_remaining_term then 1 end) as 'NO match mnths_remaining_term', </a:t>
          </a:r>
        </a:p>
        <a:p>
          <a:r>
            <a:rPr lang="en-GB" sz="1100"/>
            <a:t>count(case when prod.mnths_remaining_term is null and exp.mnths_remaining_term is not null then 1 end) as 'prod null exp Not null mnths_remaining_term', </a:t>
          </a:r>
        </a:p>
        <a:p>
          <a:r>
            <a:rPr lang="en-GB" sz="1100"/>
            <a:t>count(case when prod.mnths_remaining_term is not null and exp.mnths_remaining_term is null then 1 end) as 'prod NOT null exp null mnths_remaining_term',</a:t>
          </a:r>
        </a:p>
        <a:p>
          <a:r>
            <a:rPr lang="en-GB" sz="1100"/>
            <a:t>count(case when prod.original_loan_amt = exp.original_loan_amt or ( prod.original_loan_amt is null and exp.original_loan_amt is null) then 1 end) as 'match original_loan_amt', </a:t>
          </a:r>
        </a:p>
        <a:p>
          <a:r>
            <a:rPr lang="en-GB" sz="1100"/>
            <a:t>count(case when prod.original_loan_amt &lt;&gt; exp.original_loan_amt then 1 end) as 'NO match original_loan_amt', </a:t>
          </a:r>
        </a:p>
        <a:p>
          <a:r>
            <a:rPr lang="en-GB" sz="1100"/>
            <a:t>count(case when prod.original_loan_amt is null and exp.original_loan_amt is not null then 1 end) as 'prod null exp Not null original_loan_amt', </a:t>
          </a:r>
        </a:p>
        <a:p>
          <a:r>
            <a:rPr lang="en-GB" sz="1100"/>
            <a:t>count(case when prod.original_loan_amt is not null and exp.original_loan_amt is null then 1 end) as 'prod NOT null exp null original_loan_amt',</a:t>
          </a:r>
        </a:p>
        <a:p>
          <a:r>
            <a:rPr lang="en-GB" sz="1100"/>
            <a:t>count(case when prod.period_end_balance_amt = exp.period_end_balance_amt or ( prod.period_end_balance_amt is null and exp.period_end_balance_amt is null) then 1 end) as 'match period_end_balance_amt', </a:t>
          </a:r>
        </a:p>
        <a:p>
          <a:r>
            <a:rPr lang="en-GB" sz="1100"/>
            <a:t>count(case when prod.period_end_balance_amt &lt;&gt; exp.period_end_balance_amt then 1 end) as 'NO match period_end_balance_amt', </a:t>
          </a:r>
        </a:p>
        <a:p>
          <a:r>
            <a:rPr lang="en-GB" sz="1100"/>
            <a:t>count(case when prod.period_end_balance_amt is null and exp.period_end_balance_amt is not null then 1 end) as 'prod null exp Not null period_end_balance_amt', </a:t>
          </a:r>
        </a:p>
        <a:p>
          <a:r>
            <a:rPr lang="en-GB" sz="1100"/>
            <a:t>count(case when prod.period_end_balance_amt is not null and exp.period_end_balance_amt is null then 1 end) as 'prod NOT null exp null period_end_balance_amt',</a:t>
          </a:r>
        </a:p>
        <a:p>
          <a:r>
            <a:rPr lang="en-GB" sz="1100"/>
            <a:t>count(case when prod.pra_daily_dpd_upg = exp.pra_daily_dpd_upg or ( prod.pra_daily_dpd_upg is null and exp.pra_daily_dpd_upg is null) then 1 end) as 'match pra_daily_dpd_upg', </a:t>
          </a:r>
        </a:p>
        <a:p>
          <a:r>
            <a:rPr lang="en-GB" sz="1100"/>
            <a:t>count(case when prod.pra_daily_dpd_upg &lt;&gt; exp.pra_daily_dpd_upg then 1 end) as 'NO match pra_daily_dpd_upg', </a:t>
          </a:r>
        </a:p>
        <a:p>
          <a:r>
            <a:rPr lang="en-GB" sz="1100"/>
            <a:t>count(case when prod.pra_daily_dpd_upg is null and exp.pra_daily_dpd_upg is not null then 1 end) as 'prod null exp Not null pra_daily_dpd_upg', </a:t>
          </a:r>
        </a:p>
        <a:p>
          <a:r>
            <a:rPr lang="en-GB" sz="1100"/>
            <a:t>count(case when prod.pra_daily_dpd_upg is not null and exp.pra_daily_dpd_upg is null then 1 end) as 'prod NOT null exp null pra_daily_dpd_upg',</a:t>
          </a:r>
        </a:p>
        <a:p>
          <a:r>
            <a:rPr lang="en-GB" sz="1100"/>
            <a:t>count(case when prod.pra_mia = exp.pra_mia or ( prod.pra_mia is null and exp.pra_mia is null) then 1 end) as 'match pra_mia', </a:t>
          </a:r>
        </a:p>
        <a:p>
          <a:r>
            <a:rPr lang="en-GB" sz="1100"/>
            <a:t>count(case when prod.pra_mia &lt;&gt; exp.pra_mia then 1 end) as 'NO match pra_mia', </a:t>
          </a:r>
        </a:p>
        <a:p>
          <a:r>
            <a:rPr lang="en-GB" sz="1100"/>
            <a:t>count(case when prod.pra_mia is null and exp.pra_mia is not null then 1 end) as 'prod null exp Not null pra_mia', </a:t>
          </a:r>
        </a:p>
        <a:p>
          <a:r>
            <a:rPr lang="en-GB" sz="1100"/>
            <a:t>count(case when prod.pra_mia is not null and exp.pra_mia is null then 1 end) as 'prod NOT null exp null pra_mia',</a:t>
          </a:r>
        </a:p>
        <a:p>
          <a:r>
            <a:rPr lang="en-GB" sz="1100"/>
            <a:t>count(case when prod.single_joint_holder_ind = exp.single_joint_holder_ind or ( prod.single_joint_holder_ind is null and exp.single_joint_holder_ind is null) then 1 end) as 'match single_joint_holder_ind', </a:t>
          </a:r>
        </a:p>
        <a:p>
          <a:r>
            <a:rPr lang="en-GB" sz="1100"/>
            <a:t>count(case when prod.single_joint_holder_ind &lt;&gt; exp.single_joint_holder_ind then 1 end) as 'NO match single_joint_holder_ind', </a:t>
          </a:r>
        </a:p>
        <a:p>
          <a:r>
            <a:rPr lang="en-GB" sz="1100"/>
            <a:t>count(case when prod.single_joint_holder_ind is null and exp.single_joint_holder_ind is not null then 1 end) as 'prod null exp Not null single_joint_holder_ind', </a:t>
          </a:r>
        </a:p>
        <a:p>
          <a:r>
            <a:rPr lang="en-GB" sz="1100"/>
            <a:t>count(case when prod.single_joint_holder_ind is not null and exp.single_joint_holder_ind is null then 1 end) as 'prod NOT null exp null single_joint_holder_ind',</a:t>
          </a:r>
        </a:p>
        <a:p>
          <a:r>
            <a:rPr lang="en-GB" sz="1100"/>
            <a:t>count(case when prod.gg_max = exp.gg_max or ( prod.gg_max is null and exp.gg_max is null) then 1 end) as 'match gg_max', </a:t>
          </a:r>
        </a:p>
        <a:p>
          <a:r>
            <a:rPr lang="en-GB" sz="1100"/>
            <a:t>count(case when prod.gg_max &lt;&gt; exp.gg_max then 1 end) as 'NO match gg_max', </a:t>
          </a:r>
        </a:p>
        <a:p>
          <a:r>
            <a:rPr lang="en-GB" sz="1100"/>
            <a:t>count(case when prod.gg_max is null and exp.gg_max is not null then 1 end) as 'prod null exp Not null gg_max', </a:t>
          </a:r>
        </a:p>
        <a:p>
          <a:r>
            <a:rPr lang="en-GB" sz="1100"/>
            <a:t>count(case when prod.gg_max is not null and exp.gg_max is null then 1 end) as 'prod NOT null exp null gg_max',</a:t>
          </a:r>
        </a:p>
        <a:p>
          <a:r>
            <a:rPr lang="en-GB" sz="1100"/>
            <a:t>count(case when prod.hn_min = exp.hn_min or ( prod.hn_min is null and exp.hn_min is null) then 1 end) as 'match hn_min', </a:t>
          </a:r>
        </a:p>
        <a:p>
          <a:r>
            <a:rPr lang="en-GB" sz="1100"/>
            <a:t>count(case when prod.hn_min &lt;&gt; exp.hn_min then 1 end) as 'NO match hn_min', </a:t>
          </a:r>
        </a:p>
        <a:p>
          <a:r>
            <a:rPr lang="en-GB" sz="1100"/>
            <a:t>count(case when prod.hn_min is null and exp.hn_min is not null then 1 end) as 'prod null exp Not null hn_min', </a:t>
          </a:r>
        </a:p>
        <a:p>
          <a:r>
            <a:rPr lang="en-GB" sz="1100"/>
            <a:t>count(case when prod.hn_min is not null and exp.hn_min is null then 1 end) as 'prod NOT null exp null hn_min',</a:t>
          </a:r>
        </a:p>
        <a:p>
          <a:r>
            <a:rPr lang="en-GB" sz="1100"/>
            <a:t>count(case when prod.mhc_max = exp.mhc_max or ( prod.mhc_max is null and exp.mhc_max is null) then 1 end) as 'match mhc_max', </a:t>
          </a:r>
        </a:p>
        <a:p>
          <a:r>
            <a:rPr lang="en-GB" sz="1100"/>
            <a:t>count(case when prod.mhc_max &lt;&gt; exp.mhc_max then 1 end) as 'NO match mhc_max', </a:t>
          </a:r>
        </a:p>
        <a:p>
          <a:r>
            <a:rPr lang="en-GB" sz="1100"/>
            <a:t>count(case when prod.mhc_max is null and exp.mhc_max is not null then 1 end) as 'prod null exp Not null mhc_max', </a:t>
          </a:r>
        </a:p>
        <a:p>
          <a:r>
            <a:rPr lang="en-GB" sz="1100"/>
            <a:t>count(case when prod.mhc_max is not null and exp.mhc_max is null then 1 end) as 'prod NOT null exp null mhc_max',</a:t>
          </a:r>
        </a:p>
        <a:p>
          <a:r>
            <a:rPr lang="en-GB" sz="1100"/>
            <a:t>count(case when prod.seb_max = exp.seb_max or ( prod.seb_max is null and exp.seb_max is null) then 1 end) as 'match seb_max', </a:t>
          </a:r>
        </a:p>
        <a:p>
          <a:r>
            <a:rPr lang="en-GB" sz="1100"/>
            <a:t>count(case when prod.seb_max &lt;&gt; exp.seb_max then 1 end) as 'NO match seb_max', </a:t>
          </a:r>
        </a:p>
        <a:p>
          <a:r>
            <a:rPr lang="en-GB" sz="1100"/>
            <a:t>count(case when prod.seb_max is null and exp.seb_max is not null then 1 end) as 'prod null exp Not null seb_max', </a:t>
          </a:r>
        </a:p>
        <a:p>
          <a:r>
            <a:rPr lang="en-GB" sz="1100"/>
            <a:t>count(case when prod.seb_max is not null and exp.seb_max is null then 1 end) as 'prod NOT null exp null seb_max',</a:t>
          </a:r>
        </a:p>
        <a:p>
          <a:r>
            <a:rPr lang="en-GB" sz="1100"/>
            <a:t>count(case when prod.shc_min = exp.shc_min or ( prod.shc_min is null and exp.shc_min is null) then 1 end) as 'match shc_min', </a:t>
          </a:r>
        </a:p>
        <a:p>
          <a:r>
            <a:rPr lang="en-GB" sz="1100"/>
            <a:t>count(case when prod.shc_min &lt;&gt; exp.shc_min then 1 end) as 'NO match shc_min', </a:t>
          </a:r>
        </a:p>
        <a:p>
          <a:r>
            <a:rPr lang="en-GB" sz="1100"/>
            <a:t>count(case when prod.shc_min is null and exp.shc_min is not null then 1 end) as 'prod null exp Not null shc_min', </a:t>
          </a:r>
        </a:p>
        <a:p>
          <a:r>
            <a:rPr lang="en-GB" sz="1100"/>
            <a:t>count(case when prod.shc_min is not null and exp.shc_min is null then 1 end) as 'prod NOT null exp null shc_min',</a:t>
          </a:r>
        </a:p>
        <a:p>
          <a:r>
            <a:rPr lang="en-GB" sz="1100"/>
            <a:t>count(case when prod.xm_max = exp.xm_max or ( prod.xm_max is null and exp.xm_max is null) then 1 end) as 'match xm_max', </a:t>
          </a:r>
        </a:p>
        <a:p>
          <a:r>
            <a:rPr lang="en-GB" sz="1100"/>
            <a:t>count(case when prod.xm_max &lt;&gt; exp.xm_max then 1 end) as 'NO match xm_max', </a:t>
          </a:r>
        </a:p>
        <a:p>
          <a:r>
            <a:rPr lang="en-GB" sz="1100"/>
            <a:t>count(case when prod.xm_max is null and exp.xm_max is not null then 1 end) as 'prod null exp Not null xm_max', </a:t>
          </a:r>
        </a:p>
        <a:p>
          <a:r>
            <a:rPr lang="en-GB" sz="1100"/>
            <a:t>count(case when prod.xm_max is not null and exp.xm_max is null then 1 end) as 'prod NOT null exp null xm_max',</a:t>
          </a:r>
        </a:p>
        <a:p>
          <a:r>
            <a:rPr lang="en-GB" sz="1100"/>
            <a:t>count(case when prod.e1a03sp_min = exp.e1a03sp_min or ( prod.e1a03sp_min is null and exp.e1a03sp_min is null) then 1 end) as 'match e1a03sp_min', </a:t>
          </a:r>
        </a:p>
        <a:p>
          <a:r>
            <a:rPr lang="en-GB" sz="1100"/>
            <a:t>count(case when prod.e1a03sp_min &lt;&gt; exp.e1a03sp_min then 1 end) as 'NO match e1a03sp_min', </a:t>
          </a:r>
        </a:p>
        <a:p>
          <a:r>
            <a:rPr lang="en-GB" sz="1100"/>
            <a:t>count(case when prod.e1a03sp_min is null and exp.e1a03sp_min is not null then 1 end) as 'prod null exp Not null e1a03sp_min', </a:t>
          </a:r>
        </a:p>
        <a:p>
          <a:r>
            <a:rPr lang="en-GB" sz="1100"/>
            <a:t>count(case when prod.e1a03sp_min is not null and exp.e1a03sp_min is null then 1 end) as 'prod NOT null exp null e1a03sp_min',</a:t>
          </a:r>
        </a:p>
        <a:p>
          <a:r>
            <a:rPr lang="en-GB" sz="1100"/>
            <a:t>count(case when prod.e1a06sp_min = exp.e1a06sp_min or ( prod.e1a06sp_min is null and exp.e1a06sp_min is null) then 1 end) as 'match e1a06sp_min', </a:t>
          </a:r>
        </a:p>
        <a:p>
          <a:r>
            <a:rPr lang="en-GB" sz="1100"/>
            <a:t>count(case when prod.e1a06sp_min &lt;&gt; exp.e1a06sp_min then 1 end) as 'NO match e1a06sp_min', </a:t>
          </a:r>
        </a:p>
        <a:p>
          <a:r>
            <a:rPr lang="en-GB" sz="1100"/>
            <a:t>count(case when prod.e1a06sp_min is null and exp.e1a06sp_min is not null then 1 end) as 'prod null exp Not null e1a06sp_min', </a:t>
          </a:r>
        </a:p>
        <a:p>
          <a:r>
            <a:rPr lang="en-GB" sz="1100"/>
            <a:t>count(case when prod.e1a06sp_min is not null and exp.e1a06sp_min is null then 1 end) as 'prod NOT null exp null e1a06sp_min',</a:t>
          </a:r>
        </a:p>
        <a:p>
          <a:r>
            <a:rPr lang="en-GB" sz="1100"/>
            <a:t>count(case when prod.e1a09sp_max = exp.e1a09sp_max or ( prod.e1a09sp_max is null and exp.e1a09sp_max is null) then 1 end) as 'match e1a09sp_max', </a:t>
          </a:r>
        </a:p>
        <a:p>
          <a:r>
            <a:rPr lang="en-GB" sz="1100"/>
            <a:t>count(case when prod.e1a09sp_max &lt;&gt; exp.e1a09sp_max then 1 end) as 'NO match e1a09sp_max', </a:t>
          </a:r>
        </a:p>
        <a:p>
          <a:r>
            <a:rPr lang="en-GB" sz="1100"/>
            <a:t>count(case when prod.e1a09sp_max is null and exp.e1a09sp_max is not null then 1 end) as 'prod null exp Not null e1a09sp_max', </a:t>
          </a:r>
        </a:p>
        <a:p>
          <a:r>
            <a:rPr lang="en-GB" sz="1100"/>
            <a:t>count(case when prod.e1a09sp_max is not null and exp.e1a09sp_max is null then 1 end) as 'prod NOT null exp null e1a09sp_max',</a:t>
          </a:r>
        </a:p>
        <a:p>
          <a:r>
            <a:rPr lang="en-GB" sz="1100"/>
            <a:t>count(case when prod.e1b07sp_max = exp.e1b07sp_max or ( prod.e1b07sp_max is null and exp.e1b07sp_max is null) then 1 end) as 'match e1b07sp_max', </a:t>
          </a:r>
        </a:p>
        <a:p>
          <a:r>
            <a:rPr lang="en-GB" sz="1100"/>
            <a:t>count(case when prod.e1b07sp_max &lt;&gt; exp.e1b07sp_max then 1 end) as 'NO match e1b07sp_max', </a:t>
          </a:r>
        </a:p>
        <a:p>
          <a:r>
            <a:rPr lang="en-GB" sz="1100"/>
            <a:t>count(case when prod.e1b07sp_max is null and exp.e1b07sp_max is not null then 1 end) as 'prod null exp Not null e1b07sp_max', </a:t>
          </a:r>
        </a:p>
        <a:p>
          <a:r>
            <a:rPr lang="en-GB" sz="1100"/>
            <a:t>count(case when prod.e1b07sp_max is not null and exp.e1b07sp_max is null then 1 end) as 'prod NOT null exp null e1b07sp_max',</a:t>
          </a:r>
        </a:p>
        <a:p>
          <a:r>
            <a:rPr lang="en-GB" sz="1100"/>
            <a:t>count(case when prod.e1b10sp_min = exp.e1b10sp_min or ( prod.e1b10sp_min is null and exp.e1b10sp_min is null) then 1 end) as 'match e1b10sp_min', </a:t>
          </a:r>
        </a:p>
        <a:p>
          <a:r>
            <a:rPr lang="en-GB" sz="1100"/>
            <a:t>count(case when prod.e1b10sp_min &lt;&gt; exp.e1b10sp_min then 1 end) as 'NO match e1b10sp_min', </a:t>
          </a:r>
        </a:p>
        <a:p>
          <a:r>
            <a:rPr lang="en-GB" sz="1100"/>
            <a:t>count(case when prod.e1b10sp_min is null and exp.e1b10sp_min is not null then 1 end) as 'prod null exp Not null e1b10sp_min', </a:t>
          </a:r>
        </a:p>
        <a:p>
          <a:r>
            <a:rPr lang="en-GB" sz="1100"/>
            <a:t>count(case when prod.e1b10sp_min is not null and exp.e1b10sp_min is null then 1 end) as 'prod NOT null exp null e1b10sp_min',</a:t>
          </a:r>
        </a:p>
        <a:p>
          <a:r>
            <a:rPr lang="en-GB" sz="1100"/>
            <a:t>count(case when prod.e1b13sp_max = exp.e1b13sp_max or ( prod.e1b13sp_max is null and exp.e1b13sp_max is null) then 1 end) as 'match e1b13sp_max', </a:t>
          </a:r>
        </a:p>
        <a:p>
          <a:r>
            <a:rPr lang="en-GB" sz="1100"/>
            <a:t>count(case when prod.e1b13sp_max &lt;&gt; exp.e1b13sp_max then 1 end) as 'NO match e1b13sp_max', </a:t>
          </a:r>
        </a:p>
        <a:p>
          <a:r>
            <a:rPr lang="en-GB" sz="1100"/>
            <a:t>count(case when prod.e1b13sp_max is null and exp.e1b13sp_max is not null then 1 end) as 'prod null exp Not null e1b13sp_max', </a:t>
          </a:r>
        </a:p>
        <a:p>
          <a:r>
            <a:rPr lang="en-GB" sz="1100"/>
            <a:t>count(case when prod.e1b13sp_max is not null and exp.e1b13sp_max is null then 1 end) as 'prod NOT null exp null e1b13sp_max',</a:t>
          </a:r>
        </a:p>
        <a:p>
          <a:r>
            <a:rPr lang="en-GB" sz="1100"/>
            <a:t>count(case when prod.e1e02sp_max = exp.e1e02sp_max or ( prod.e1e02sp_max is null and exp.e1e02sp_max is null) then 1 end) as 'match e1e02sp_max', </a:t>
          </a:r>
        </a:p>
        <a:p>
          <a:r>
            <a:rPr lang="en-GB" sz="1100"/>
            <a:t>count(case when prod.e1e02sp_max &lt;&gt; exp.e1e02sp_max then 1 end) as 'NO match e1e02sp_max', </a:t>
          </a:r>
        </a:p>
        <a:p>
          <a:r>
            <a:rPr lang="en-GB" sz="1100"/>
            <a:t>count(case when prod.e1e02sp_max is null and exp.e1e02sp_max is not null then 1 end) as 'prod null exp Not null e1e02sp_max', </a:t>
          </a:r>
        </a:p>
        <a:p>
          <a:r>
            <a:rPr lang="en-GB" sz="1100"/>
            <a:t>count(case when prod.e1e02sp_max is not null and exp.e1e02sp_max is null then 1 end) as 'prod NOT null exp null e1e02sp_max',</a:t>
          </a:r>
        </a:p>
        <a:p>
          <a:r>
            <a:rPr lang="en-GB" sz="1100"/>
            <a:t>count(case when prod.e2g11spa_max = exp.e2g11spa_max or ( prod.e2g11spa_max is null and exp.e2g11spa_max is null) then 1 end) as 'match e2g11spa_max', </a:t>
          </a:r>
        </a:p>
        <a:p>
          <a:r>
            <a:rPr lang="en-GB" sz="1100"/>
            <a:t>count(case when prod.e2g11spa_max &lt;&gt; exp.e2g11spa_max then 1 end) as 'NO match e2g11spa_max', </a:t>
          </a:r>
        </a:p>
        <a:p>
          <a:r>
            <a:rPr lang="en-GB" sz="1100"/>
            <a:t>count(case when prod.e2g11spa_max is null and exp.e2g11spa_max is not null then 1 end) as 'prod null exp Not null e2g11spa_max', </a:t>
          </a:r>
        </a:p>
        <a:p>
          <a:r>
            <a:rPr lang="en-GB" sz="1100"/>
            <a:t>count(case when prod.e2g11spa_max is not null and exp.e2g11spa_max is null then 1 end) as 'prod NOT null exp null e2g11spa_max',</a:t>
          </a:r>
        </a:p>
        <a:p>
          <a:r>
            <a:rPr lang="en-GB" sz="1100"/>
            <a:t>count(case when prod.ea1d01sp_max = exp.ea1d01sp_max or ( prod.ea1d01sp_max is null and exp.ea1d01sp_max is null) then 1 end) as 'match ea1d01sp_max', </a:t>
          </a:r>
        </a:p>
        <a:p>
          <a:r>
            <a:rPr lang="en-GB" sz="1100"/>
            <a:t>count(case when prod.ea1d01sp_max &lt;&gt; exp.ea1d01sp_max then 1 end) as 'NO match ea1d01sp_max', </a:t>
          </a:r>
        </a:p>
        <a:p>
          <a:r>
            <a:rPr lang="en-GB" sz="1100"/>
            <a:t>count(case when prod.ea1d01sp_max is null and exp.ea1d01sp_max is not null then 1 end) as 'prod null exp Not null ea1d01sp_max', </a:t>
          </a:r>
        </a:p>
        <a:p>
          <a:r>
            <a:rPr lang="en-GB" sz="1100"/>
            <a:t>count(case when prod.ea1d01sp_max is not null and exp.ea1d01sp_max is null then 1 end) as 'prod NOT null exp null ea1d01sp_max',</a:t>
          </a:r>
        </a:p>
        <a:p>
          <a:r>
            <a:rPr lang="en-GB" sz="1100"/>
            <a:t>count(case when prod.ea1e02sp_max = exp.ea1e02sp_max or ( prod.ea1e02sp_max is null and exp.ea1e02sp_max is null) then 1 end) as 'match ea1e02sp_max', </a:t>
          </a:r>
        </a:p>
        <a:p>
          <a:r>
            <a:rPr lang="en-GB" sz="1100"/>
            <a:t>count(case when prod.ea1e02sp_max &lt;&gt; exp.ea1e02sp_max then 1 end) as 'NO match ea1e02sp_max', </a:t>
          </a:r>
        </a:p>
        <a:p>
          <a:r>
            <a:rPr lang="en-GB" sz="1100"/>
            <a:t>count(case when prod.ea1e02sp_max is null and exp.ea1e02sp_max is not null then 1 end) as 'prod null exp Not null ea1e02sp_max', </a:t>
          </a:r>
        </a:p>
        <a:p>
          <a:r>
            <a:rPr lang="en-GB" sz="1100"/>
            <a:t>count(case when prod.ea1e02sp_max is not null and exp.ea1e02sp_max is null then 1 end) as 'prod NOT null exp null ea1e02sp_max',</a:t>
          </a:r>
        </a:p>
        <a:p>
          <a:r>
            <a:rPr lang="en-GB" sz="1100"/>
            <a:t>count(case when prod.ndecc02sp_max = exp.ndecc02sp_max or ( prod.ndecc02sp_max is null and exp.ndecc02sp_max is null) then 1 end) as 'match ndecc02sp_max', </a:t>
          </a:r>
        </a:p>
        <a:p>
          <a:r>
            <a:rPr lang="en-GB" sz="1100"/>
            <a:t>count(case when prod.ndecc02sp_max &lt;&gt; exp.ndecc02sp_max then 1 end) as 'NO match ndecc02sp_max', </a:t>
          </a:r>
        </a:p>
        <a:p>
          <a:r>
            <a:rPr lang="en-GB" sz="1100"/>
            <a:t>count(case when prod.ndecc02sp_max is null and exp.ndecc02sp_max is not null then 1 end) as 'prod null exp Not null ndecc02sp_max', </a:t>
          </a:r>
        </a:p>
        <a:p>
          <a:r>
            <a:rPr lang="en-GB" sz="1100"/>
            <a:t>count(case when prod.ndecc02sp_max is not null and exp.ndecc02sp_max is null then 1 end) as 'prod NOT null exp null ndecc02sp_max',</a:t>
          </a:r>
        </a:p>
        <a:p>
          <a:r>
            <a:rPr lang="en-GB" sz="1100"/>
            <a:t>count(case when prod.ndecc07sp_min = exp.ndecc07sp_min or ( prod.ndecc07sp_min is null and exp.ndecc07sp_min is null) then 1 end) as 'match ndecc07sp_min', </a:t>
          </a:r>
        </a:p>
        <a:p>
          <a:r>
            <a:rPr lang="en-GB" sz="1100"/>
            <a:t>count(case when prod.ndecc07sp_min &lt;&gt; exp.ndecc07sp_min then 1 end) as 'NO match ndecc07sp_min', </a:t>
          </a:r>
        </a:p>
        <a:p>
          <a:r>
            <a:rPr lang="en-GB" sz="1100"/>
            <a:t>count(case when prod.ndecc07sp_min is null and exp.ndecc07sp_min is not null then 1 end) as 'prod null exp Not null ndecc07sp_min', </a:t>
          </a:r>
        </a:p>
        <a:p>
          <a:r>
            <a:rPr lang="en-GB" sz="1100"/>
            <a:t>count(case when prod.ndecc07sp_min is not null and exp.ndecc07sp_min is null then 1 end) as 'prod NOT null exp null ndecc07sp_min',</a:t>
          </a:r>
        </a:p>
        <a:p>
          <a:r>
            <a:rPr lang="en-GB" sz="1100"/>
            <a:t>count(case when prod.ndhac09sp_max = exp.ndhac09sp_max or ( prod.ndhac09sp_max is null and exp.ndhac09sp_max is null) then 1 end) as 'match ndhac09sp_max', </a:t>
          </a:r>
        </a:p>
        <a:p>
          <a:r>
            <a:rPr lang="en-GB" sz="1100"/>
            <a:t>count(case when prod.ndhac09sp_max &lt;&gt; exp.ndhac09sp_max then 1 end) as 'NO match ndhac09sp_max', </a:t>
          </a:r>
        </a:p>
        <a:p>
          <a:r>
            <a:rPr lang="en-GB" sz="1100"/>
            <a:t>count(case when prod.ndhac09sp_max is null and exp.ndhac09sp_max is not null then 1 end) as 'prod null exp Not null ndhac09sp_max', </a:t>
          </a:r>
        </a:p>
        <a:p>
          <a:r>
            <a:rPr lang="en-GB" sz="1100"/>
            <a:t>count(case when prod.ndhac09sp_max is not null and exp.ndhac09sp_max is null then 1 end) as 'prod NOT null exp null ndhac09sp_max',</a:t>
          </a:r>
        </a:p>
        <a:p>
          <a:r>
            <a:rPr lang="en-GB" sz="1100"/>
            <a:t>count(case when prod.avg_num_days_exc_l3m_max = exp.avg_num_days_exc_l3m_max or ( prod.avg_num_days_exc_l3m_max is null and exp.avg_num_days_exc_l3m_max is null) then 1 end) as 'match avg_num_days_exc_l3m_max', </a:t>
          </a:r>
        </a:p>
        <a:p>
          <a:r>
            <a:rPr lang="en-GB" sz="1100"/>
            <a:t>count(case when prod.avg_num_days_exc_l3m_max &lt;&gt; exp.avg_num_days_exc_l3m_max then 1 end) as 'NO match avg_num_days_exc_l3m_max', </a:t>
          </a:r>
        </a:p>
        <a:p>
          <a:r>
            <a:rPr lang="en-GB" sz="1100"/>
            <a:t>count(case when prod.avg_num_days_exc_l3m_max is null and exp.avg_num_days_exc_l3m_max is not null then 1 end) as 'prod null exp Not null avg_num_days_exc_l3m_max', </a:t>
          </a:r>
        </a:p>
        <a:p>
          <a:r>
            <a:rPr lang="en-GB" sz="1100"/>
            <a:t>count(case when prod.avg_num_days_exc_l3m_max is not null and exp.avg_num_days_exc_l3m_max is null then 1 end) as 'prod NOT null exp null avg_num_days_exc_l3m_max',</a:t>
          </a:r>
        </a:p>
        <a:p>
          <a:r>
            <a:rPr lang="en-GB" sz="1100"/>
            <a:t>count(case when prod.min_max_bal_l12m_max = exp.min_max_bal_l12m_max or ( prod.min_max_bal_l12m_max is null and exp.min_max_bal_l12m_max is null) then 1 end) as 'match min_max_bal_l12m_max', </a:t>
          </a:r>
        </a:p>
        <a:p>
          <a:r>
            <a:rPr lang="en-GB" sz="1100"/>
            <a:t>count(case when prod.min_max_bal_l12m_max &lt;&gt; exp.min_max_bal_l12m_max then 1 end) as 'NO match min_max_bal_l12m_max', </a:t>
          </a:r>
        </a:p>
        <a:p>
          <a:r>
            <a:rPr lang="en-GB" sz="1100"/>
            <a:t>count(case when prod.min_max_bal_l12m_max is null and exp.min_max_bal_l12m_max is not null then 1 end) as 'prod null exp Not null min_max_bal_l12m_max', </a:t>
          </a:r>
        </a:p>
        <a:p>
          <a:r>
            <a:rPr lang="en-GB" sz="1100"/>
            <a:t>count(case when prod.min_max_bal_l12m_max is not null and exp.min_max_bal_l12m_max is null then 1 end) as 'prod NOT null exp null min_max_bal_l12m_max',</a:t>
          </a:r>
        </a:p>
        <a:p>
          <a:r>
            <a:rPr lang="en-GB" sz="1100"/>
            <a:t>count(case when prod.ratio_bal_cto_max = exp.ratio_bal_cto_max or ( prod.ratio_bal_cto_max is null and exp.ratio_bal_cto_max is null) then 1 end) as 'match ratio_bal_cto_max', </a:t>
          </a:r>
        </a:p>
        <a:p>
          <a:r>
            <a:rPr lang="en-GB" sz="1100"/>
            <a:t>count(case when prod.ratio_bal_cto_max &lt;&gt; exp.ratio_bal_cto_max then 1 end) as 'NO match ratio_bal_cto_max', </a:t>
          </a:r>
        </a:p>
        <a:p>
          <a:r>
            <a:rPr lang="en-GB" sz="1100"/>
            <a:t>count(case when prod.ratio_bal_cto_max is null and exp.ratio_bal_cto_max is not null then 1 end) as 'prod null exp Not null ratio_bal_cto_max', </a:t>
          </a:r>
        </a:p>
        <a:p>
          <a:r>
            <a:rPr lang="en-GB" sz="1100"/>
            <a:t>count(case when prod.ratio_bal_cto_max is not null and exp.ratio_bal_cto_max is null then 1 end) as 'prod NOT null exp null ratio_bal_cto_max',</a:t>
          </a:r>
        </a:p>
        <a:p>
          <a:r>
            <a:rPr lang="en-GB" sz="1100"/>
            <a:t>count(case when prod.avg_netpay_nonbt_l6m_max = exp.avg_netpay_nonbt_l6m_max or ( prod.avg_netpay_nonbt_l6m_max is null and exp.avg_netpay_nonbt_l6m_max is null) then 1 end) as 'match avg_netpay_nonbt_l6m_max', </a:t>
          </a:r>
        </a:p>
        <a:p>
          <a:r>
            <a:rPr lang="en-GB" sz="1100"/>
            <a:t>count(case when prod.avg_netpay_nonbt_l6m_max &lt;&gt; exp.avg_netpay_nonbt_l6m_max then 1 end) as 'NO match avg_netpay_nonbt_l6m_max', </a:t>
          </a:r>
        </a:p>
        <a:p>
          <a:r>
            <a:rPr lang="en-GB" sz="1100"/>
            <a:t>count(case when prod.avg_netpay_nonbt_l6m_max is null and exp.avg_netpay_nonbt_l6m_max is not null then 1 end) as 'prod null exp Not null avg_netpay_nonbt_l6m_max', </a:t>
          </a:r>
        </a:p>
        <a:p>
          <a:r>
            <a:rPr lang="en-GB" sz="1100"/>
            <a:t>count(case when prod.avg_netpay_nonbt_l6m_max is not null and exp.avg_netpay_nonbt_l6m_max is null then 1 end) as 'prod NOT null exp null avg_netpay_nonbt_l6m_max',</a:t>
          </a:r>
        </a:p>
        <a:p>
          <a:r>
            <a:rPr lang="en-GB" sz="1100"/>
            <a:t>count(case when prod.max_cshbal_util_l4m_min = exp.max_cshbal_util_l4m_min or ( prod.max_cshbal_util_l4m_min is null and exp.max_cshbal_util_l4m_min is null) then 1 end) as 'match max_cshbal_util_l4m_min', </a:t>
          </a:r>
        </a:p>
        <a:p>
          <a:r>
            <a:rPr lang="en-GB" sz="1100"/>
            <a:t>count(case when prod.max_cshbal_util_l4m_min &lt;&gt; exp.max_cshbal_util_l4m_min then 1 end) as 'NO match max_cshbal_util_l4m_min', </a:t>
          </a:r>
        </a:p>
        <a:p>
          <a:r>
            <a:rPr lang="en-GB" sz="1100"/>
            <a:t>count(case when prod.max_cshbal_util_l4m_min is null and exp.max_cshbal_util_l4m_min is not null then 1 end) as 'prod null exp Not null max_cshbal_util_l4m_min', </a:t>
          </a:r>
        </a:p>
        <a:p>
          <a:r>
            <a:rPr lang="en-GB" sz="1100"/>
            <a:t>count(case when prod.max_cshbal_util_l4m_min is not null and exp.max_cshbal_util_l4m_min is null then 1 end) as 'prod NOT null exp null max_cshbal_util_l4m_min',</a:t>
          </a:r>
        </a:p>
        <a:p>
          <a:r>
            <a:rPr lang="en-GB" sz="1100"/>
            <a:t>count(case when prod.max_avg_savbal_l6m_max = exp.max_avg_savbal_l6m_max or ( prod.max_avg_savbal_l6m_max is null and exp.max_avg_savbal_l6m_max is null) then 1 end) as 'match max_avg_savbal_l6m_max', </a:t>
          </a:r>
        </a:p>
        <a:p>
          <a:r>
            <a:rPr lang="en-GB" sz="1100"/>
            <a:t>count(case when prod.max_avg_savbal_l6m_max &lt;&gt; exp.max_avg_savbal_l6m_max then 1 end) as 'NO match max_avg_savbal_l6m_max', </a:t>
          </a:r>
        </a:p>
        <a:p>
          <a:r>
            <a:rPr lang="en-GB" sz="1100"/>
            <a:t>count(case when prod.max_avg_savbal_l6m_max is null and exp.max_avg_savbal_l6m_max is not null then 1 end) as 'prod null exp Not null max_avg_savbal_l6m_max', </a:t>
          </a:r>
        </a:p>
        <a:p>
          <a:r>
            <a:rPr lang="en-GB" sz="1100"/>
            <a:t>count(case when prod.max_avg_savbal_l6m_max is not null and exp.max_avg_savbal_l6m_max is null then 1 end) as 'prod NOT null exp null max_avg_savbal_l6m_max',</a:t>
          </a:r>
        </a:p>
        <a:p>
          <a:r>
            <a:rPr lang="en-GB" sz="1100"/>
            <a:t>count(case when prod.max_num_days_exc_l3m_max = exp.max_num_days_exc_l3m_max or ( prod.max_num_days_exc_l3m_max is null and exp.max_num_days_exc_l3m_max is null) then 1 end) as 'match max_num_days_exc_l3m_max', </a:t>
          </a:r>
        </a:p>
        <a:p>
          <a:r>
            <a:rPr lang="en-GB" sz="1100"/>
            <a:t>count(case when prod.max_num_days_exc_l3m_max &lt;&gt; exp.max_num_days_exc_l3m_max then 1 end) as 'NO match max_num_days_exc_l3m_max', </a:t>
          </a:r>
        </a:p>
        <a:p>
          <a:r>
            <a:rPr lang="en-GB" sz="1100"/>
            <a:t>count(case when prod.max_num_days_exc_l3m_max is null and exp.max_num_days_exc_l3m_max is not null then 1 end) as 'prod null exp Not null max_num_days_exc_l3m_max', </a:t>
          </a:r>
        </a:p>
        <a:p>
          <a:r>
            <a:rPr lang="en-GB" sz="1100"/>
            <a:t>count(case when prod.max_num_days_exc_l3m_max is not null and exp.max_num_days_exc_l3m_max is null then 1 end) as 'prod NOT null exp null max_num_days_exc_l3m_max',</a:t>
          </a:r>
        </a:p>
        <a:p>
          <a:r>
            <a:rPr lang="en-GB" sz="1100"/>
            <a:t>count(case when prod.unpaid_bill_count_max = exp.unpaid_bill_count_max or ( prod.unpaid_bill_count_max is null and exp.unpaid_bill_count_max is null) then 1 end) as 'match unpaid_bill_count_max', </a:t>
          </a:r>
        </a:p>
        <a:p>
          <a:r>
            <a:rPr lang="en-GB" sz="1100"/>
            <a:t>count(case when prod.unpaid_bill_count_max &lt;&gt; exp.unpaid_bill_count_max then 1 end) as 'NO match unpaid_bill_count_max', </a:t>
          </a:r>
        </a:p>
        <a:p>
          <a:r>
            <a:rPr lang="en-GB" sz="1100"/>
            <a:t>count(case when prod.unpaid_bill_count_max is null and exp.unpaid_bill_count_max is not null then 1 end) as 'prod null exp Not null unpaid_bill_count_max', </a:t>
          </a:r>
        </a:p>
        <a:p>
          <a:r>
            <a:rPr lang="en-GB" sz="1100"/>
            <a:t>count(case when prod.unpaid_bill_count_max is not null and exp.unpaid_bill_count_max is null then 1 end) as 'prod NOT null exp null unpaid_bill_count_max',</a:t>
          </a:r>
        </a:p>
        <a:p>
          <a:r>
            <a:rPr lang="en-GB" sz="1100"/>
            <a:t>count(case when prod.billed_bal_min = exp.billed_bal_min or ( prod.billed_bal_min is null and exp.billed_bal_min is null) then 1 end) as 'match billed_bal_min', </a:t>
          </a:r>
        </a:p>
        <a:p>
          <a:r>
            <a:rPr lang="en-GB" sz="1100"/>
            <a:t>count(case when prod.billed_bal_min &lt;&gt; exp.billed_bal_min then 1 end) as 'NO match billed_bal_min', </a:t>
          </a:r>
        </a:p>
        <a:p>
          <a:r>
            <a:rPr lang="en-GB" sz="1100"/>
            <a:t>count(case when prod.billed_bal_min is null and exp.billed_bal_min is not null then 1 end) as 'prod null exp Not null billed_bal_min', </a:t>
          </a:r>
        </a:p>
        <a:p>
          <a:r>
            <a:rPr lang="en-GB" sz="1100"/>
            <a:t>count(case when prod.billed_bal_min is not null and exp.billed_bal_min is null then 1 end) as 'prod NOT null exp null billed_bal_min',</a:t>
          </a:r>
        </a:p>
        <a:p>
          <a:r>
            <a:rPr lang="en-GB" sz="1100"/>
            <a:t>count(case when prod.sw_min_max_bal_l12m_max = exp.sw_min_max_bal_l12m_max or ( prod.sw_min_max_bal_l12m_max is null and exp.sw_min_max_bal_l12m_max is null) then 1 end) as 'match sw_min_max_bal_l12m_max', </a:t>
          </a:r>
        </a:p>
        <a:p>
          <a:r>
            <a:rPr lang="en-GB" sz="1100"/>
            <a:t>count(case when prod.sw_min_max_bal_l12m_max &lt;&gt; exp.sw_min_max_bal_l12m_max then 1 end) as 'NO match sw_min_max_bal_l12m_max', </a:t>
          </a:r>
        </a:p>
        <a:p>
          <a:r>
            <a:rPr lang="en-GB" sz="1100"/>
            <a:t>count(case when prod.sw_min_max_bal_l12m_max is null and exp.sw_min_max_bal_l12m_max is not null then 1 end) as 'prod null exp Not null sw_min_max_bal_l12m_max', </a:t>
          </a:r>
        </a:p>
        <a:p>
          <a:r>
            <a:rPr lang="en-GB" sz="1100"/>
            <a:t>count(case when prod.sw_min_max_bal_l12m_max is not null and exp.sw_min_max_bal_l12m_max is null then 1 end) as 'prod NOT null exp null sw_min_max_bal_l12m_max',</a:t>
          </a:r>
        </a:p>
        <a:p>
          <a:r>
            <a:rPr lang="en-GB" sz="1100"/>
            <a:t>count(case when prod.sw_avg_num_days_exc_l3m_max = exp.sw_avg_num_days_exc_l3m_max or ( prod.sw_avg_num_days_exc_l3m_max is null and exp.sw_avg_num_days_exc_l3m_max is null) then 1 end) as 'match sw_avg_num_days_exc_l3m_max', </a:t>
          </a:r>
        </a:p>
        <a:p>
          <a:r>
            <a:rPr lang="en-GB" sz="1100"/>
            <a:t>count(case when prod.sw_avg_num_days_exc_l3m_max &lt;&gt; exp.sw_avg_num_days_exc_l3m_max then 1 end) as 'NO match sw_avg_num_days_exc_l3m_max', </a:t>
          </a:r>
        </a:p>
        <a:p>
          <a:r>
            <a:rPr lang="en-GB" sz="1100"/>
            <a:t>count(case when prod.sw_avg_num_days_exc_l3m_max is null and exp.sw_avg_num_days_exc_l3m_max is not null then 1 end) as 'prod null exp Not null sw_avg_num_days_exc_l3m_max', </a:t>
          </a:r>
        </a:p>
        <a:p>
          <a:r>
            <a:rPr lang="en-GB" sz="1100"/>
            <a:t>count(case when prod.sw_avg_num_days_exc_l3m_max is not null and exp.sw_avg_num_days_exc_l3m_max is null then 1 end) as 'prod NOT null exp null sw_avg_num_days_exc_l3m_max',</a:t>
          </a:r>
        </a:p>
        <a:p>
          <a:r>
            <a:rPr lang="en-GB" sz="1100"/>
            <a:t>count(case when prod.sw_ratio_bal_cto_max = exp.sw_ratio_bal_cto_max or ( prod.sw_ratio_bal_cto_max is null and exp.sw_ratio_bal_cto_max is null) then 1 end) as 'match sw_ratio_bal_cto_max', </a:t>
          </a:r>
        </a:p>
        <a:p>
          <a:r>
            <a:rPr lang="en-GB" sz="1100"/>
            <a:t>count(case when prod.sw_ratio_bal_cto_max &lt;&gt; exp.sw_ratio_bal_cto_max then 1 end) as 'NO match sw_ratio_bal_cto_max', </a:t>
          </a:r>
        </a:p>
        <a:p>
          <a:r>
            <a:rPr lang="en-GB" sz="1100"/>
            <a:t>count(case when prod.sw_ratio_bal_cto_max is null and exp.sw_ratio_bal_cto_max is not null then 1 end) as 'prod null exp Not null sw_ratio_bal_cto_max', </a:t>
          </a:r>
        </a:p>
        <a:p>
          <a:r>
            <a:rPr lang="en-GB" sz="1100"/>
            <a:t>count(case when prod.sw_ratio_bal_cto_max is not null and exp.sw_ratio_bal_cto_max is null then 1 end) as 'prod NOT null exp null sw_ratio_bal_cto_max',</a:t>
          </a:r>
        </a:p>
        <a:p>
          <a:r>
            <a:rPr lang="en-GB" sz="1100"/>
            <a:t>count(case when prod.sw_single_joint_holder_ind = exp.sw_single_joint_holder_ind or ( prod.sw_single_joint_holder_ind is null and exp.sw_single_joint_holder_ind is null) then 1 end) as 'match sw_single_joint_holder_ind', </a:t>
          </a:r>
        </a:p>
        <a:p>
          <a:r>
            <a:rPr lang="en-GB" sz="1100"/>
            <a:t>count(case when prod.sw_single_joint_holder_ind &lt;&gt; exp.sw_single_joint_holder_ind then 1 end) as 'NO match sw_single_joint_holder_ind', </a:t>
          </a:r>
        </a:p>
        <a:p>
          <a:r>
            <a:rPr lang="en-GB" sz="1100"/>
            <a:t>count(case when prod.sw_single_joint_holder_ind is null and exp.sw_single_joint_holder_ind is not null then 1 end) as 'prod null exp Not null sw_single_joint_holder_ind', </a:t>
          </a:r>
        </a:p>
        <a:p>
          <a:r>
            <a:rPr lang="en-GB" sz="1100"/>
            <a:t>count(case when prod.sw_single_joint_holder_ind is not null and exp.sw_single_joint_holder_ind is null then 1 end) as 'prod NOT null exp null sw_single_joint_holder_ind',</a:t>
          </a:r>
        </a:p>
        <a:p>
          <a:r>
            <a:rPr lang="en-GB" sz="1100"/>
            <a:t>count(case when prod.sw_cad_12m_count = exp.sw_cad_12m_count or ( prod.sw_cad_12m_count is null and exp.sw_cad_12m_count is null) then 1 end) as 'match sw_cad_12m_count', </a:t>
          </a:r>
        </a:p>
        <a:p>
          <a:r>
            <a:rPr lang="en-GB" sz="1100"/>
            <a:t>count(case when prod.sw_cad_12m_count &lt;&gt; exp.sw_cad_12m_count then 1 end) as 'NO match sw_cad_12m_count', </a:t>
          </a:r>
        </a:p>
        <a:p>
          <a:r>
            <a:rPr lang="en-GB" sz="1100"/>
            <a:t>count(case when prod.sw_cad_12m_count is null and exp.sw_cad_12m_count is not null then 1 end) as 'prod null exp Not null sw_cad_12m_count', </a:t>
          </a:r>
        </a:p>
        <a:p>
          <a:r>
            <a:rPr lang="en-GB" sz="1100"/>
            <a:t>count(case when prod.sw_cad_12m_count is not null and exp.sw_cad_12m_count is null then 1 end) as 'prod NOT null exp null sw_cad_12m_count',</a:t>
          </a:r>
        </a:p>
        <a:p>
          <a:r>
            <a:rPr lang="en-GB" sz="1100"/>
            <a:t>count(case when prod.sw_e1b10sp_min = exp.sw_e1b10sp_min or ( prod.sw_e1b10sp_min is null and exp.sw_e1b10sp_min is null) then 1 end) as 'match sw_e1b10sp_min', </a:t>
          </a:r>
        </a:p>
        <a:p>
          <a:r>
            <a:rPr lang="en-GB" sz="1100"/>
            <a:t>count(case when prod.sw_e1b10sp_min &lt;&gt; exp.sw_e1b10sp_min then 1 end) as 'NO match sw_e1b10sp_min', </a:t>
          </a:r>
        </a:p>
        <a:p>
          <a:r>
            <a:rPr lang="en-GB" sz="1100"/>
            <a:t>count(case when prod.sw_e1b10sp_min is null and exp.sw_e1b10sp_min is not null then 1 end) as 'prod null exp Not null sw_e1b10sp_min', </a:t>
          </a:r>
        </a:p>
        <a:p>
          <a:r>
            <a:rPr lang="en-GB" sz="1100"/>
            <a:t>count(case when prod.sw_e1b10sp_min is not null and exp.sw_e1b10sp_min is null then 1 end) as 'prod NOT null exp null sw_e1b10sp_min',</a:t>
          </a:r>
        </a:p>
        <a:p>
          <a:r>
            <a:rPr lang="en-GB" sz="1100"/>
            <a:t>count(case when prod.sw_e1e02sp_max = exp.sw_e1e02sp_max or ( prod.sw_e1e02sp_max is null and exp.sw_e1e02sp_max is null) then 1 end) as 'match sw_e1e02sp_max', </a:t>
          </a:r>
        </a:p>
        <a:p>
          <a:r>
            <a:rPr lang="en-GB" sz="1100"/>
            <a:t>count(case when prod.sw_e1e02sp_max &lt;&gt; exp.sw_e1e02sp_max then 1 end) as 'NO match sw_e1e02sp_max', </a:t>
          </a:r>
        </a:p>
        <a:p>
          <a:r>
            <a:rPr lang="en-GB" sz="1100"/>
            <a:t>count(case when prod.sw_e1e02sp_max is null and exp.sw_e1e02sp_max is not null then 1 end) as 'prod null exp Not null sw_e1e02sp_max', </a:t>
          </a:r>
        </a:p>
        <a:p>
          <a:r>
            <a:rPr lang="en-GB" sz="1100"/>
            <a:t>count(case when prod.sw_e1e02sp_max is not null and exp.sw_e1e02sp_max is null then 1 end) as 'prod NOT null exp null sw_e1e02sp_max',</a:t>
          </a:r>
        </a:p>
        <a:p>
          <a:r>
            <a:rPr lang="en-GB" sz="1100"/>
            <a:t>count(case when prod.sw_ndecc02sp_max = exp.sw_ndecc02sp_max or ( prod.sw_ndecc02sp_max is null and exp.sw_ndecc02sp_max is null) then 1 end) as 'match sw_ndecc02sp_max', </a:t>
          </a:r>
        </a:p>
        <a:p>
          <a:r>
            <a:rPr lang="en-GB" sz="1100"/>
            <a:t>count(case when prod.sw_ndecc02sp_max &lt;&gt; exp.sw_ndecc02sp_max then 1 end) as 'NO match sw_ndecc02sp_max', </a:t>
          </a:r>
        </a:p>
        <a:p>
          <a:r>
            <a:rPr lang="en-GB" sz="1100"/>
            <a:t>count(case when prod.sw_ndecc02sp_max is null and exp.sw_ndecc02sp_max is not null then 1 end) as 'prod null exp Not null sw_ndecc02sp_max', </a:t>
          </a:r>
        </a:p>
        <a:p>
          <a:r>
            <a:rPr lang="en-GB" sz="1100"/>
            <a:t>count(case when prod.sw_ndecc02sp_max is not null and exp.sw_ndecc02sp_max is null then 1 end) as 'prod NOT null exp null sw_ndecc02sp_max',</a:t>
          </a:r>
        </a:p>
        <a:p>
          <a:r>
            <a:rPr lang="en-GB" sz="1100"/>
            <a:t>count(case when prod.sw_ndecc07sp_min = exp.sw_ndecc07sp_min or ( prod.sw_ndecc07sp_min is null and exp.sw_ndecc07sp_min is null) then 1 end) as 'match sw_ndecc07sp_min', </a:t>
          </a:r>
        </a:p>
        <a:p>
          <a:r>
            <a:rPr lang="en-GB" sz="1100"/>
            <a:t>count(case when prod.sw_ndecc07sp_min &lt;&gt; exp.sw_ndecc07sp_min then 1 end) as 'NO match sw_ndecc07sp_min', </a:t>
          </a:r>
        </a:p>
        <a:p>
          <a:r>
            <a:rPr lang="en-GB" sz="1100"/>
            <a:t>count(case when prod.sw_ndecc07sp_min is null and exp.sw_ndecc07sp_min is not null then 1 end) as 'prod null exp Not null sw_ndecc07sp_min', </a:t>
          </a:r>
        </a:p>
        <a:p>
          <a:r>
            <a:rPr lang="en-GB" sz="1100"/>
            <a:t>count(case when prod.sw_ndecc07sp_min is not null and exp.sw_ndecc07sp_min is null then 1 end) as 'prod NOT null exp null sw_ndecc07sp_min',</a:t>
          </a:r>
        </a:p>
        <a:p>
          <a:r>
            <a:rPr lang="en-GB" sz="1100"/>
            <a:t>count(case when prod.sw_gg_max = exp.sw_gg_max or ( prod.sw_gg_max is null and exp.sw_gg_max is null) then 1 end) as 'match sw_gg_max', </a:t>
          </a:r>
        </a:p>
        <a:p>
          <a:r>
            <a:rPr lang="en-GB" sz="1100"/>
            <a:t>count(case when prod.sw_gg_max &lt;&gt; exp.sw_gg_max then 1 end) as 'NO match sw_gg_max', </a:t>
          </a:r>
        </a:p>
        <a:p>
          <a:r>
            <a:rPr lang="en-GB" sz="1100"/>
            <a:t>count(case when prod.sw_gg_max is null and exp.sw_gg_max is not null then 1 end) as 'prod null exp Not null sw_gg_max', </a:t>
          </a:r>
        </a:p>
        <a:p>
          <a:r>
            <a:rPr lang="en-GB" sz="1100"/>
            <a:t>count(case when prod.sw_gg_max is not null and exp.sw_gg_max is null then 1 end) as 'prod NOT null exp null sw_gg_max',</a:t>
          </a:r>
        </a:p>
        <a:p>
          <a:r>
            <a:rPr lang="en-GB" sz="1100"/>
            <a:t>count(case when prod.sw_hn_min = exp.sw_hn_min or ( prod.sw_hn_min is null and exp.sw_hn_min is null) then 1 end) as 'match sw_hn_min', </a:t>
          </a:r>
        </a:p>
        <a:p>
          <a:r>
            <a:rPr lang="en-GB" sz="1100"/>
            <a:t>count(case when prod.sw_hn_min &lt;&gt; exp.sw_hn_min then 1 end) as 'NO match sw_hn_min', </a:t>
          </a:r>
        </a:p>
        <a:p>
          <a:r>
            <a:rPr lang="en-GB" sz="1100"/>
            <a:t>count(case when prod.sw_hn_min is null and exp.sw_hn_min is not null then 1 end) as 'prod null exp Not null sw_hn_min', </a:t>
          </a:r>
        </a:p>
        <a:p>
          <a:r>
            <a:rPr lang="en-GB" sz="1100"/>
            <a:t>count(case when prod.sw_hn_min is not null and exp.sw_hn_min is null then 1 end) as 'prod NOT null exp null sw_hn_min',</a:t>
          </a:r>
        </a:p>
        <a:p>
          <a:r>
            <a:rPr lang="en-GB" sz="1100"/>
            <a:t>count(case when prod.sw_seb_max = exp.sw_seb_max or ( prod.sw_seb_max is null and exp.sw_seb_max is null) then 1 end) as 'match sw_seb_max', </a:t>
          </a:r>
        </a:p>
        <a:p>
          <a:r>
            <a:rPr lang="en-GB" sz="1100"/>
            <a:t>count(case when prod.sw_seb_max &lt;&gt; exp.sw_seb_max then 1 end) as 'NO match sw_seb_max', </a:t>
          </a:r>
        </a:p>
        <a:p>
          <a:r>
            <a:rPr lang="en-GB" sz="1100"/>
            <a:t>count(case when prod.sw_seb_max is null and exp.sw_seb_max is not null then 1 end) as 'prod null exp Not null sw_seb_max', </a:t>
          </a:r>
        </a:p>
        <a:p>
          <a:r>
            <a:rPr lang="en-GB" sz="1100"/>
            <a:t>count(case when prod.sw_seb_max is not null and exp.sw_seb_max is null then 1 end) as 'prod NOT null exp null sw_seb_max',</a:t>
          </a:r>
        </a:p>
        <a:p>
          <a:r>
            <a:rPr lang="en-GB" sz="1100"/>
            <a:t>count(case when prod.sw_mhc_max = exp.sw_mhc_max or ( prod.sw_mhc_max is null and exp.sw_mhc_max is null) then 1 end) as 'match sw_mhc_max', </a:t>
          </a:r>
        </a:p>
        <a:p>
          <a:r>
            <a:rPr lang="en-GB" sz="1100"/>
            <a:t>count(case when prod.sw_mhc_max &lt;&gt; exp.sw_mhc_max then 1 end) as 'NO match sw_mhc_max', </a:t>
          </a:r>
        </a:p>
        <a:p>
          <a:r>
            <a:rPr lang="en-GB" sz="1100"/>
            <a:t>count(case when prod.sw_mhc_max is null and exp.sw_mhc_max is not null then 1 end) as 'prod null exp Not null sw_mhc_max', </a:t>
          </a:r>
        </a:p>
        <a:p>
          <a:r>
            <a:rPr lang="en-GB" sz="1100"/>
            <a:t>count(case when prod.sw_mhc_max is not null and exp.sw_mhc_max is null then 1 end) as 'prod NOT null exp null sw_mhc_max',</a:t>
          </a:r>
        </a:p>
        <a:p>
          <a:r>
            <a:rPr lang="en-GB" sz="1100"/>
            <a:t>count(case when prod.sw_shc_min = exp.sw_shc_min or ( prod.sw_shc_min is null and exp.sw_shc_min is null) then 1 end) as 'match sw_shc_min', </a:t>
          </a:r>
        </a:p>
        <a:p>
          <a:r>
            <a:rPr lang="en-GB" sz="1100"/>
            <a:t>count(case when prod.sw_shc_min &lt;&gt; exp.sw_shc_min then 1 end) as 'NO match sw_shc_min', </a:t>
          </a:r>
        </a:p>
        <a:p>
          <a:r>
            <a:rPr lang="en-GB" sz="1100"/>
            <a:t>count(case when prod.sw_shc_min is null and exp.sw_shc_min is not null then 1 end) as 'prod null exp Not null sw_shc_min', </a:t>
          </a:r>
        </a:p>
        <a:p>
          <a:r>
            <a:rPr lang="en-GB" sz="1100"/>
            <a:t>count(case when prod.sw_shc_min is not null and exp.sw_shc_min is null then 1 end) as 'prod NOT null exp null sw_shc_min',</a:t>
          </a:r>
        </a:p>
        <a:p>
          <a:r>
            <a:rPr lang="en-GB" sz="1100"/>
            <a:t>count(case when prod.sw_max_avg_savbal_l6m_max = exp.sw_max_avg_savbal_l6m_max or ( prod.sw_max_avg_savbal_l6m_max is null and exp.sw_max_avg_savbal_l6m_max is null) then 1 end) as 'match sw_max_avg_savbal_l6m_max', </a:t>
          </a:r>
        </a:p>
        <a:p>
          <a:r>
            <a:rPr lang="en-GB" sz="1100"/>
            <a:t>count(case when prod.sw_max_avg_savbal_l6m_max &lt;&gt; exp.sw_max_avg_savbal_l6m_max then 1 end) as 'NO match sw_max_avg_savbal_l6m_max', </a:t>
          </a:r>
        </a:p>
        <a:p>
          <a:r>
            <a:rPr lang="en-GB" sz="1100"/>
            <a:t>count(case when prod.sw_max_avg_savbal_l6m_max is null and exp.sw_max_avg_savbal_l6m_max is not null then 1 end) as 'prod null exp Not null sw_max_avg_savbal_l6m_max', </a:t>
          </a:r>
        </a:p>
        <a:p>
          <a:r>
            <a:rPr lang="en-GB" sz="1100"/>
            <a:t>count(case when prod.sw_max_avg_savbal_l6m_max is not null and exp.sw_max_avg_savbal_l6m_max is null then 1 end) as 'prod NOT null exp null sw_max_avg_savbal_l6m_max',</a:t>
          </a:r>
        </a:p>
        <a:p>
          <a:r>
            <a:rPr lang="en-GB" sz="1100"/>
            <a:t>count(case when prod.sw_max_cshbal_util_l4m_min = exp.sw_max_cshbal_util_l4m_min or ( prod.sw_max_cshbal_util_l4m_min is null and exp.sw_max_cshbal_util_l4m_min is null) then 1 end) as 'match sw_max_cshbal_util_l4m_min', </a:t>
          </a:r>
        </a:p>
        <a:p>
          <a:r>
            <a:rPr lang="en-GB" sz="1100"/>
            <a:t>count(case when prod.sw_max_cshbal_util_l4m_min &lt;&gt; exp.sw_max_cshbal_util_l4m_min then 1 end) as 'NO match sw_max_cshbal_util_l4m_min', </a:t>
          </a:r>
        </a:p>
        <a:p>
          <a:r>
            <a:rPr lang="en-GB" sz="1100"/>
            <a:t>count(case when prod.sw_max_cshbal_util_l4m_min is null and exp.sw_max_cshbal_util_l4m_min is not null then 1 end) as 'prod null exp Not null sw_max_cshbal_util_l4m_min', </a:t>
          </a:r>
        </a:p>
        <a:p>
          <a:r>
            <a:rPr lang="en-GB" sz="1100"/>
            <a:t>count(case when prod.sw_max_cshbal_util_l4m_min is not null and exp.sw_max_cshbal_util_l4m_min is null then 1 end) as 'prod NOT null exp null sw_max_cshbal_util_l4m_min',</a:t>
          </a:r>
        </a:p>
        <a:p>
          <a:r>
            <a:rPr lang="en-GB" sz="1100"/>
            <a:t>count(case when prod.sw_avg_netpay_nonbt_l6m_max = exp.sw_avg_netpay_nonbt_l6m_max or ( prod.sw_avg_netpay_nonbt_l6m_max is null and exp.sw_avg_netpay_nonbt_l6m_max is null) then 1 end) as 'match sw_avg_netpay_nonbt_l6m_max', </a:t>
          </a:r>
        </a:p>
        <a:p>
          <a:r>
            <a:rPr lang="en-GB" sz="1100"/>
            <a:t>count(case when prod.sw_avg_netpay_nonbt_l6m_max &lt;&gt; exp.sw_avg_netpay_nonbt_l6m_max then 1 end) as 'NO match sw_avg_netpay_nonbt_l6m_max', </a:t>
          </a:r>
        </a:p>
        <a:p>
          <a:r>
            <a:rPr lang="en-GB" sz="1100"/>
            <a:t>count(case when prod.sw_avg_netpay_nonbt_l6m_max is null and exp.sw_avg_netpay_nonbt_l6m_max is not null then 1 end) as 'prod null exp Not null sw_avg_netpay_nonbt_l6m_max', </a:t>
          </a:r>
        </a:p>
        <a:p>
          <a:r>
            <a:rPr lang="en-GB" sz="1100"/>
            <a:t>count(case when prod.sw_avg_netpay_nonbt_l6m_max is not null and exp.sw_avg_netpay_nonbt_l6m_max is null then 1 end) as 'prod NOT null exp null sw_avg_netpay_nonbt_l6m_max',</a:t>
          </a:r>
        </a:p>
        <a:p>
          <a:r>
            <a:rPr lang="en-GB" sz="1100"/>
            <a:t>count(case when prod.sw_mnths_remaining_term = exp.sw_mnths_remaining_term or ( prod.sw_mnths_remaining_term is null and exp.sw_mnths_remaining_term is null) then 1 end) as 'match sw_mnths_remaining_term', </a:t>
          </a:r>
        </a:p>
        <a:p>
          <a:r>
            <a:rPr lang="en-GB" sz="1100"/>
            <a:t>count(case when prod.sw_mnths_remaining_term &lt;&gt; exp.sw_mnths_remaining_term then 1 end) as 'NO match sw_mnths_remaining_term', </a:t>
          </a:r>
        </a:p>
        <a:p>
          <a:r>
            <a:rPr lang="en-GB" sz="1100"/>
            <a:t>count(case when prod.sw_mnths_remaining_term is null and exp.sw_mnths_remaining_term is not null then 1 end) as 'prod null exp Not null sw_mnths_remaining_term', </a:t>
          </a:r>
        </a:p>
        <a:p>
          <a:r>
            <a:rPr lang="en-GB" sz="1100"/>
            <a:t>count(case when prod.sw_mnths_remaining_term is not null and exp.sw_mnths_remaining_term is null then 1 end) as 'prod NOT null exp null sw_mnths_remaining_term',</a:t>
          </a:r>
        </a:p>
        <a:p>
          <a:r>
            <a:rPr lang="en-GB" sz="1100"/>
            <a:t>count(case when prod.sw_loan_term_amount_group = exp.sw_loan_term_amount_group or ( prod.sw_loan_term_amount_group is null and exp.sw_loan_term_amount_group is null) then 1 end) as 'match sw_loan_term_amount_group', </a:t>
          </a:r>
        </a:p>
        <a:p>
          <a:r>
            <a:rPr lang="en-GB" sz="1100"/>
            <a:t>count(case when prod.sw_loan_term_amount_group &lt;&gt; exp.sw_loan_term_amount_group then 1 end) as 'NO match sw_loan_term_amount_group', </a:t>
          </a:r>
        </a:p>
        <a:p>
          <a:r>
            <a:rPr lang="en-GB" sz="1100"/>
            <a:t>count(case when prod.sw_loan_term_amount_group is null and exp.sw_loan_term_amount_group is not null then 1 end) as 'prod null exp Not null sw_loan_term_amount_group', </a:t>
          </a:r>
        </a:p>
        <a:p>
          <a:r>
            <a:rPr lang="en-GB" sz="1100"/>
            <a:t>count(case when prod.sw_loan_term_amount_group is not null and exp.sw_loan_term_amount_group is null then 1 end) as 'prod NOT null exp null sw_loan_term_amount_group',</a:t>
          </a:r>
        </a:p>
        <a:p>
          <a:r>
            <a:rPr lang="en-GB" sz="1100"/>
            <a:t>count(case when prod.uw_max_num_days_exc_l3m_max = exp.uw_max_num_days_exc_l3m_max or ( prod.uw_max_num_days_exc_l3m_max is null and exp.uw_max_num_days_exc_l3m_max is null) then 1 end) as 'match uw_max_num_days_exc_l3m_max', </a:t>
          </a:r>
        </a:p>
        <a:p>
          <a:r>
            <a:rPr lang="en-GB" sz="1100"/>
            <a:t>count(case when prod.uw_max_num_days_exc_l3m_max &lt;&gt; exp.uw_max_num_days_exc_l3m_max then 1 end) as 'NO match uw_max_num_days_exc_l3m_max', </a:t>
          </a:r>
        </a:p>
        <a:p>
          <a:r>
            <a:rPr lang="en-GB" sz="1100"/>
            <a:t>count(case when prod.uw_max_num_days_exc_l3m_max is null and exp.uw_max_num_days_exc_l3m_max is not null then 1 end) as 'prod null exp Not null uw_max_num_days_exc_l3m_max', </a:t>
          </a:r>
        </a:p>
        <a:p>
          <a:r>
            <a:rPr lang="en-GB" sz="1100"/>
            <a:t>count(case when prod.uw_max_num_days_exc_l3m_max is not null and exp.uw_max_num_days_exc_l3m_max is null then 1 end) as 'prod NOT null exp null uw_max_num_days_exc_l3m_max',</a:t>
          </a:r>
        </a:p>
        <a:p>
          <a:r>
            <a:rPr lang="en-GB" sz="1100"/>
            <a:t>count(case when prod.uw_ratio_bal_cto_max = exp.uw_ratio_bal_cto_max or ( prod.uw_ratio_bal_cto_max is null and exp.uw_ratio_bal_cto_max is null) then 1 end) as 'match uw_ratio_bal_cto_max', </a:t>
          </a:r>
        </a:p>
        <a:p>
          <a:r>
            <a:rPr lang="en-GB" sz="1100"/>
            <a:t>count(case when prod.uw_ratio_bal_cto_max &lt;&gt; exp.uw_ratio_bal_cto_max then 1 end) as 'NO match uw_ratio_bal_cto_max', </a:t>
          </a:r>
        </a:p>
        <a:p>
          <a:r>
            <a:rPr lang="en-GB" sz="1100"/>
            <a:t>count(case when prod.uw_ratio_bal_cto_max is null and exp.uw_ratio_bal_cto_max is not null then 1 end) as 'prod null exp Not null uw_ratio_bal_cto_max', </a:t>
          </a:r>
        </a:p>
        <a:p>
          <a:r>
            <a:rPr lang="en-GB" sz="1100"/>
            <a:t>count(case when prod.uw_ratio_bal_cto_max is not null and exp.uw_ratio_bal_cto_max is null then 1 end) as 'prod NOT null exp null uw_ratio_bal_cto_max',</a:t>
          </a:r>
        </a:p>
        <a:p>
          <a:r>
            <a:rPr lang="en-GB" sz="1100"/>
            <a:t>count(case when prod.uw_cust_age_max = exp.uw_cust_age_max or ( prod.uw_cust_age_max is null and exp.uw_cust_age_max is null) then 1 end) as 'match uw_cust_age_max', </a:t>
          </a:r>
        </a:p>
        <a:p>
          <a:r>
            <a:rPr lang="en-GB" sz="1100"/>
            <a:t>count(case when prod.uw_cust_age_max &lt;&gt; exp.uw_cust_age_max then 1 end) as 'NO match uw_cust_age_max', </a:t>
          </a:r>
        </a:p>
        <a:p>
          <a:r>
            <a:rPr lang="en-GB" sz="1100"/>
            <a:t>count(case when prod.uw_cust_age_max is null and exp.uw_cust_age_max is not null then 1 end) as 'prod null exp Not null uw_cust_age_max', </a:t>
          </a:r>
        </a:p>
        <a:p>
          <a:r>
            <a:rPr lang="en-GB" sz="1100"/>
            <a:t>count(case when prod.uw_cust_age_max is not null and exp.uw_cust_age_max is null then 1 end) as 'prod NOT null exp null uw_cust_age_max',</a:t>
          </a:r>
        </a:p>
        <a:p>
          <a:r>
            <a:rPr lang="en-GB" sz="1100"/>
            <a:t>count(case when prod.uw_cai_1m_flag = exp.uw_cai_1m_flag or ( prod.uw_cai_1m_flag is null and exp.uw_cai_1m_flag is null) then 1 end) as 'match uw_cai_1m_flag', </a:t>
          </a:r>
        </a:p>
        <a:p>
          <a:r>
            <a:rPr lang="en-GB" sz="1100"/>
            <a:t>count(case when prod.uw_cai_1m_flag &lt;&gt; exp.uw_cai_1m_flag then 1 end) as 'NO match uw_cai_1m_flag', </a:t>
          </a:r>
        </a:p>
        <a:p>
          <a:r>
            <a:rPr lang="en-GB" sz="1100"/>
            <a:t>count(case when prod.uw_cai_1m_flag is null and exp.uw_cai_1m_flag is not null then 1 end) as 'prod null exp Not null uw_cai_1m_flag', </a:t>
          </a:r>
        </a:p>
        <a:p>
          <a:r>
            <a:rPr lang="en-GB" sz="1100"/>
            <a:t>count(case when prod.uw_cai_1m_flag is not null and exp.uw_cai_1m_flag is null then 1 end) as 'prod NOT null exp null uw_cai_1m_flag',</a:t>
          </a:r>
        </a:p>
        <a:p>
          <a:r>
            <a:rPr lang="en-GB" sz="1100"/>
            <a:t>count(case when prod.uw_pra_daily_dpd_upg = exp.uw_pra_daily_dpd_upg or ( prod.uw_pra_daily_dpd_upg is null and exp.uw_pra_daily_dpd_upg is null) then 1 end) as 'match uw_pra_daily_dpd_upg', </a:t>
          </a:r>
        </a:p>
        <a:p>
          <a:r>
            <a:rPr lang="en-GB" sz="1100"/>
            <a:t>count(case when prod.uw_pra_daily_dpd_upg &lt;&gt; exp.uw_pra_daily_dpd_upg then 1 end) as 'NO match uw_pra_daily_dpd_upg', </a:t>
          </a:r>
        </a:p>
        <a:p>
          <a:r>
            <a:rPr lang="en-GB" sz="1100"/>
            <a:t>count(case when prod.uw_pra_daily_dpd_upg is null and exp.uw_pra_daily_dpd_upg is not null then 1 end) as 'prod null exp Not null uw_pra_daily_dpd_upg', </a:t>
          </a:r>
        </a:p>
        <a:p>
          <a:r>
            <a:rPr lang="en-GB" sz="1100"/>
            <a:t>count(case when prod.uw_pra_daily_dpd_upg is not null and exp.uw_pra_daily_dpd_upg is null then 1 end) as 'prod NOT null exp null uw_pra_daily_dpd_upg',</a:t>
          </a:r>
        </a:p>
        <a:p>
          <a:r>
            <a:rPr lang="en-GB" sz="1100"/>
            <a:t>count(case when prod.uw_e1a06sp_min = exp.uw_e1a06sp_min or ( prod.uw_e1a06sp_min is null and exp.uw_e1a06sp_min is null) then 1 end) as 'match uw_e1a06sp_min', </a:t>
          </a:r>
        </a:p>
        <a:p>
          <a:r>
            <a:rPr lang="en-GB" sz="1100"/>
            <a:t>count(case when prod.uw_e1a06sp_min &lt;&gt; exp.uw_e1a06sp_min then 1 end) as 'NO match uw_e1a06sp_min', </a:t>
          </a:r>
        </a:p>
        <a:p>
          <a:r>
            <a:rPr lang="en-GB" sz="1100"/>
            <a:t>count(case when prod.uw_e1a06sp_min is null and exp.uw_e1a06sp_min is not null then 1 end) as 'prod null exp Not null uw_e1a06sp_min', </a:t>
          </a:r>
        </a:p>
        <a:p>
          <a:r>
            <a:rPr lang="en-GB" sz="1100"/>
            <a:t>count(case when prod.uw_e1a06sp_min is not null and exp.uw_e1a06sp_min is null then 1 end) as 'prod NOT null exp null uw_e1a06sp_min',</a:t>
          </a:r>
        </a:p>
        <a:p>
          <a:r>
            <a:rPr lang="en-GB" sz="1100"/>
            <a:t>count(case when prod.uw_e1a09sp_max = exp.uw_e1a09sp_max or ( prod.uw_e1a09sp_max is null and exp.uw_e1a09sp_max is null) then 1 end) as 'match uw_e1a09sp_max', </a:t>
          </a:r>
        </a:p>
        <a:p>
          <a:r>
            <a:rPr lang="en-GB" sz="1100"/>
            <a:t>count(case when prod.uw_e1a09sp_max &lt;&gt; exp.uw_e1a09sp_max then 1 end) as 'NO match uw_e1a09sp_max', </a:t>
          </a:r>
        </a:p>
        <a:p>
          <a:r>
            <a:rPr lang="en-GB" sz="1100"/>
            <a:t>count(case when prod.uw_e1a09sp_max is null and exp.uw_e1a09sp_max is not null then 1 end) as 'prod null exp Not null uw_e1a09sp_max', </a:t>
          </a:r>
        </a:p>
        <a:p>
          <a:r>
            <a:rPr lang="en-GB" sz="1100"/>
            <a:t>count(case when prod.uw_e1a09sp_max is not null and exp.uw_e1a09sp_max is null then 1 end) as 'prod NOT null exp null uw_e1a09sp_max',</a:t>
          </a:r>
        </a:p>
        <a:p>
          <a:r>
            <a:rPr lang="en-GB" sz="1100"/>
            <a:t>count(case when prod.uw_e1b10sp_min = exp.uw_e1b10sp_min or ( prod.uw_e1b10sp_min is null and exp.uw_e1b10sp_min is null) then 1 end) as 'match uw_e1b10sp_min', </a:t>
          </a:r>
        </a:p>
        <a:p>
          <a:r>
            <a:rPr lang="en-GB" sz="1100"/>
            <a:t>count(case when prod.uw_e1b10sp_min &lt;&gt; exp.uw_e1b10sp_min then 1 end) as 'NO match uw_e1b10sp_min', </a:t>
          </a:r>
        </a:p>
        <a:p>
          <a:r>
            <a:rPr lang="en-GB" sz="1100"/>
            <a:t>count(case when prod.uw_e1b10sp_min is null and exp.uw_e1b10sp_min is not null then 1 end) as 'prod null exp Not null uw_e1b10sp_min', </a:t>
          </a:r>
        </a:p>
        <a:p>
          <a:r>
            <a:rPr lang="en-GB" sz="1100"/>
            <a:t>count(case when prod.uw_e1b10sp_min is not null and exp.uw_e1b10sp_min is null then 1 end) as 'prod NOT null exp null uw_e1b10sp_min',</a:t>
          </a:r>
        </a:p>
        <a:p>
          <a:r>
            <a:rPr lang="en-GB" sz="1100"/>
            <a:t>count(case when prod.uw_e1b13sp_max = exp.uw_e1b13sp_max or ( prod.uw_e1b13sp_max is null and exp.uw_e1b13sp_max is null) then 1 end) as 'match uw_e1b13sp_max', </a:t>
          </a:r>
        </a:p>
        <a:p>
          <a:r>
            <a:rPr lang="en-GB" sz="1100"/>
            <a:t>count(case when prod.uw_e1b13sp_max &lt;&gt; exp.uw_e1b13sp_max then 1 end) as 'NO match uw_e1b13sp_max', </a:t>
          </a:r>
        </a:p>
        <a:p>
          <a:r>
            <a:rPr lang="en-GB" sz="1100"/>
            <a:t>count(case when prod.uw_e1b13sp_max is null and exp.uw_e1b13sp_max is not null then 1 end) as 'prod null exp Not null uw_e1b13sp_max', </a:t>
          </a:r>
        </a:p>
        <a:p>
          <a:r>
            <a:rPr lang="en-GB" sz="1100"/>
            <a:t>count(case when prod.uw_e1b13sp_max is not null and exp.uw_e1b13sp_max is null then 1 end) as 'prod NOT null exp null uw_e1b13sp_max',</a:t>
          </a:r>
        </a:p>
        <a:p>
          <a:r>
            <a:rPr lang="en-GB" sz="1100"/>
            <a:t>count(case when prod.uw_e2g11spa_max = exp.uw_e2g11spa_max or ( prod.uw_e2g11spa_max is null and exp.uw_e2g11spa_max is null) then 1 end) as 'match uw_e2g11spa_max', </a:t>
          </a:r>
        </a:p>
        <a:p>
          <a:r>
            <a:rPr lang="en-GB" sz="1100"/>
            <a:t>count(case when prod.uw_e2g11spa_max &lt;&gt; exp.uw_e2g11spa_max then 1 end) as 'NO match uw_e2g11spa_max', </a:t>
          </a:r>
        </a:p>
        <a:p>
          <a:r>
            <a:rPr lang="en-GB" sz="1100"/>
            <a:t>count(case when prod.uw_e2g11spa_max is null and exp.uw_e2g11spa_max is not null then 1 end) as 'prod null exp Not null uw_e2g11spa_max', </a:t>
          </a:r>
        </a:p>
        <a:p>
          <a:r>
            <a:rPr lang="en-GB" sz="1100"/>
            <a:t>count(case when prod.uw_e2g11spa_max is not null and exp.uw_e2g11spa_max is null then 1 end) as 'prod NOT null exp null uw_e2g11spa_max',</a:t>
          </a:r>
        </a:p>
        <a:p>
          <a:r>
            <a:rPr lang="en-GB" sz="1100"/>
            <a:t>count(case when prod.uw_ea1d01sp_max = exp.uw_ea1d01sp_max or ( prod.uw_ea1d01sp_max is null and exp.uw_ea1d01sp_max is null) then 1 end) as 'match uw_ea1d01sp_max', </a:t>
          </a:r>
        </a:p>
        <a:p>
          <a:r>
            <a:rPr lang="en-GB" sz="1100"/>
            <a:t>count(case when prod.uw_ea1d01sp_max &lt;&gt; exp.uw_ea1d01sp_max then 1 end) as 'NO match uw_ea1d01sp_max', </a:t>
          </a:r>
        </a:p>
        <a:p>
          <a:r>
            <a:rPr lang="en-GB" sz="1100"/>
            <a:t>count(case when prod.uw_ea1d01sp_max is null and exp.uw_ea1d01sp_max is not null then 1 end) as 'prod null exp Not null uw_ea1d01sp_max', </a:t>
          </a:r>
        </a:p>
        <a:p>
          <a:r>
            <a:rPr lang="en-GB" sz="1100"/>
            <a:t>count(case when prod.uw_ea1d01sp_max is not null and exp.uw_ea1d01sp_max is null then 1 end) as 'prod NOT null exp null uw_ea1d01sp_max',</a:t>
          </a:r>
        </a:p>
        <a:p>
          <a:r>
            <a:rPr lang="en-GB" sz="1100"/>
            <a:t>count(case when prod.uw_ea1e02sp_max = exp.uw_ea1e02sp_max or ( prod.uw_ea1e02sp_max is null and exp.uw_ea1e02sp_max is null) then 1 end) as 'match uw_ea1e02sp_max', </a:t>
          </a:r>
        </a:p>
        <a:p>
          <a:r>
            <a:rPr lang="en-GB" sz="1100"/>
            <a:t>count(case when prod.uw_ea1e02sp_max &lt;&gt; exp.uw_ea1e02sp_max then 1 end) as 'NO match uw_ea1e02sp_max', </a:t>
          </a:r>
        </a:p>
        <a:p>
          <a:r>
            <a:rPr lang="en-GB" sz="1100"/>
            <a:t>count(case when prod.uw_ea1e02sp_max is null and exp.uw_ea1e02sp_max is not null then 1 end) as 'prod null exp Not null uw_ea1e02sp_max', </a:t>
          </a:r>
        </a:p>
        <a:p>
          <a:r>
            <a:rPr lang="en-GB" sz="1100"/>
            <a:t>count(case when prod.uw_ea1e02sp_max is not null and exp.uw_ea1e02sp_max is null then 1 end) as 'prod NOT null exp null uw_ea1e02sp_max',</a:t>
          </a:r>
        </a:p>
        <a:p>
          <a:r>
            <a:rPr lang="en-GB" sz="1100"/>
            <a:t>count(case when prod.uw_ndhac09sp_max = exp.uw_ndhac09sp_max or ( prod.uw_ndhac09sp_max is null and exp.uw_ndhac09sp_max is null) then 1 end) as 'match uw_ndhac09sp_max', </a:t>
          </a:r>
        </a:p>
        <a:p>
          <a:r>
            <a:rPr lang="en-GB" sz="1100"/>
            <a:t>count(case when prod.uw_ndhac09sp_max &lt;&gt; exp.uw_ndhac09sp_max then 1 end) as 'NO match uw_ndhac09sp_max', </a:t>
          </a:r>
        </a:p>
        <a:p>
          <a:r>
            <a:rPr lang="en-GB" sz="1100"/>
            <a:t>count(case when prod.uw_ndhac09sp_max is null and exp.uw_ndhac09sp_max is not null then 1 end) as 'prod null exp Not null uw_ndhac09sp_max', </a:t>
          </a:r>
        </a:p>
        <a:p>
          <a:r>
            <a:rPr lang="en-GB" sz="1100"/>
            <a:t>count(case when prod.uw_ndhac09sp_max is not null and exp.uw_ndhac09sp_max is null then 1 end) as 'prod NOT null exp null uw_ndhac09sp_max',</a:t>
          </a:r>
        </a:p>
        <a:p>
          <a:r>
            <a:rPr lang="en-GB" sz="1100"/>
            <a:t>count(case when prod.uw_shc_min = exp.uw_shc_min or ( prod.uw_shc_min is null and exp.uw_shc_min is null) then 1 end) as 'match uw_shc_min', </a:t>
          </a:r>
        </a:p>
        <a:p>
          <a:r>
            <a:rPr lang="en-GB" sz="1100"/>
            <a:t>count(case when prod.uw_shc_min &lt;&gt; exp.uw_shc_min then 1 end) as 'NO match uw_shc_min', </a:t>
          </a:r>
        </a:p>
        <a:p>
          <a:r>
            <a:rPr lang="en-GB" sz="1100"/>
            <a:t>count(case when prod.uw_shc_min is null and exp.uw_shc_min is not null then 1 end) as 'prod null exp Not null uw_shc_min', </a:t>
          </a:r>
        </a:p>
        <a:p>
          <a:r>
            <a:rPr lang="en-GB" sz="1100"/>
            <a:t>count(case when prod.uw_shc_min is not null and exp.uw_shc_min is null then 1 end) as 'prod NOT null exp null uw_shc_min',</a:t>
          </a:r>
        </a:p>
        <a:p>
          <a:r>
            <a:rPr lang="en-GB" sz="1100"/>
            <a:t>count(case when prod.uw_xm_max = exp.uw_xm_max or ( prod.uw_xm_max is null and exp.uw_xm_max is null) then 1 end) as 'match uw_xm_max', </a:t>
          </a:r>
        </a:p>
        <a:p>
          <a:r>
            <a:rPr lang="en-GB" sz="1100"/>
            <a:t>count(case when prod.uw_xm_max &lt;&gt; exp.uw_xm_max then 1 end) as 'NO match uw_xm_max', </a:t>
          </a:r>
        </a:p>
        <a:p>
          <a:r>
            <a:rPr lang="en-GB" sz="1100"/>
            <a:t>count(case when prod.uw_xm_max is null and exp.uw_xm_max is not null then 1 end) as 'prod null exp Not null uw_xm_max', </a:t>
          </a:r>
        </a:p>
        <a:p>
          <a:r>
            <a:rPr lang="en-GB" sz="1100"/>
            <a:t>count(case when prod.uw_xm_max is not null and exp.uw_xm_max is null then 1 end) as 'prod NOT null exp null uw_xm_max',</a:t>
          </a:r>
        </a:p>
        <a:p>
          <a:r>
            <a:rPr lang="en-GB" sz="1100"/>
            <a:t>count(case when prod.uw_max_avg_savbal_l6m_max = exp.uw_max_avg_savbal_l6m_max or ( prod.uw_max_avg_savbal_l6m_max is null and exp.uw_max_avg_savbal_l6m_max is null) then 1 end) as 'match uw_max_avg_savbal_l6m_max', </a:t>
          </a:r>
        </a:p>
        <a:p>
          <a:r>
            <a:rPr lang="en-GB" sz="1100"/>
            <a:t>count(case when prod.uw_max_avg_savbal_l6m_max &lt;&gt; exp.uw_max_avg_savbal_l6m_max then 1 end) as 'NO match uw_max_avg_savbal_l6m_max', </a:t>
          </a:r>
        </a:p>
        <a:p>
          <a:r>
            <a:rPr lang="en-GB" sz="1100"/>
            <a:t>count(case when prod.uw_max_avg_savbal_l6m_max is null and exp.uw_max_avg_savbal_l6m_max is not null then 1 end) as 'prod null exp Not null uw_max_avg_savbal_l6m_max', </a:t>
          </a:r>
        </a:p>
        <a:p>
          <a:r>
            <a:rPr lang="en-GB" sz="1100"/>
            <a:t>count(case when prod.uw_max_avg_savbal_l6m_max is not null and exp.uw_max_avg_savbal_l6m_max is null then 1 end) as 'prod NOT null exp null uw_max_avg_savbal_l6m_max',</a:t>
          </a:r>
        </a:p>
        <a:p>
          <a:r>
            <a:rPr lang="en-GB" sz="1100"/>
            <a:t>count(case when prod.uw_billed_bal_min = exp.uw_billed_bal_min or ( prod.uw_billed_bal_min is null and exp.uw_billed_bal_min is null) then 1 end) as 'match uw_billed_bal_min', </a:t>
          </a:r>
        </a:p>
        <a:p>
          <a:r>
            <a:rPr lang="en-GB" sz="1100"/>
            <a:t>count(case when prod.uw_billed_bal_min &lt;&gt; exp.uw_billed_bal_min then 1 end) as 'NO match uw_billed_bal_min', </a:t>
          </a:r>
        </a:p>
        <a:p>
          <a:r>
            <a:rPr lang="en-GB" sz="1100"/>
            <a:t>count(case when prod.uw_billed_bal_min is null and exp.uw_billed_bal_min is not null then 1 end) as 'prod null exp Not null uw_billed_bal_min', </a:t>
          </a:r>
        </a:p>
        <a:p>
          <a:r>
            <a:rPr lang="en-GB" sz="1100"/>
            <a:t>count(case when prod.uw_billed_bal_min is not null and exp.uw_billed_bal_min is null then 1 end) as 'prod NOT null exp null uw_billed_bal_min',</a:t>
          </a:r>
        </a:p>
        <a:p>
          <a:r>
            <a:rPr lang="en-GB" sz="1100"/>
            <a:t>count(case when prod.uw_unpaid_bill_count_max = exp.uw_unpaid_bill_count_max or ( prod.uw_unpaid_bill_count_max is null and exp.uw_unpaid_bill_count_max is null) then 1 end) as 'match uw_unpaid_bill_count_max', </a:t>
          </a:r>
        </a:p>
        <a:p>
          <a:r>
            <a:rPr lang="en-GB" sz="1100"/>
            <a:t>count(case when prod.uw_unpaid_bill_count_max &lt;&gt; exp.uw_unpaid_bill_count_max then 1 end) as 'NO match uw_unpaid_bill_count_max', </a:t>
          </a:r>
        </a:p>
        <a:p>
          <a:r>
            <a:rPr lang="en-GB" sz="1100"/>
            <a:t>count(case when prod.uw_unpaid_bill_count_max is null and exp.uw_unpaid_bill_count_max is not null then 1 end) as 'prod null exp Not null uw_unpaid_bill_count_max', </a:t>
          </a:r>
        </a:p>
        <a:p>
          <a:r>
            <a:rPr lang="en-GB" sz="1100"/>
            <a:t>count(case when prod.uw_unpaid_bill_count_max is not null and exp.uw_unpaid_bill_count_max is null then 1 end) as 'prod NOT null exp null uw_unpaid_bill_count_max',</a:t>
          </a:r>
        </a:p>
        <a:p>
          <a:r>
            <a:rPr lang="en-GB" sz="1100"/>
            <a:t>count(case when prod.segment = exp.segment or ( prod.segment is null and exp.segment is null) then 1 end) as 'match segment', </a:t>
          </a:r>
        </a:p>
        <a:p>
          <a:r>
            <a:rPr lang="en-GB" sz="1100"/>
            <a:t>count(case when prod.segment &lt;&gt; exp.segment then 1 end) as 'NO match segment', </a:t>
          </a:r>
        </a:p>
        <a:p>
          <a:r>
            <a:rPr lang="en-GB" sz="1100"/>
            <a:t>count(case when prod.segment is null and exp.segment is not null then 1 end) as 'prod null exp Not null segment', </a:t>
          </a:r>
        </a:p>
        <a:p>
          <a:r>
            <a:rPr lang="en-GB" sz="1100"/>
            <a:t>count(case when prod.segment is not null and exp.segment is null then 1 end) as 'prod NOT null exp null segment',</a:t>
          </a:r>
        </a:p>
        <a:p>
          <a:r>
            <a:rPr lang="en-GB" sz="1100"/>
            <a:t>count(case when prod.bh_score = exp.bh_score or ( prod.bh_score is null and exp.bh_score is null) then 1 end) as 'match bh_score', </a:t>
          </a:r>
        </a:p>
        <a:p>
          <a:r>
            <a:rPr lang="en-GB" sz="1100"/>
            <a:t>count(case when prod.bh_score &lt;&gt; exp.bh_score then 1 end) as 'NO match bh_score', </a:t>
          </a:r>
        </a:p>
        <a:p>
          <a:r>
            <a:rPr lang="en-GB" sz="1100"/>
            <a:t>count(case when prod.bh_score is null and exp.bh_score is not null then 1 end) as 'prod null exp Not null bh_score', </a:t>
          </a:r>
        </a:p>
        <a:p>
          <a:r>
            <a:rPr lang="en-GB" sz="1100"/>
            <a:t>count(case when prod.bh_score is not null and exp.bh_score is null then 1 end) as 'prod NOT null exp null bh_score',</a:t>
          </a:r>
        </a:p>
        <a:p>
          <a:r>
            <a:rPr lang="en-GB" sz="1100"/>
            <a:t>count(case when prod.audt_process_status = exp.audt_process_status or ( prod.audt_process_status is null and exp.audt_process_status is null) then 1 end) as 'match audt_process_status', </a:t>
          </a:r>
        </a:p>
        <a:p>
          <a:r>
            <a:rPr lang="en-GB" sz="1100"/>
            <a:t>count(case when prod.audt_process_status &lt;&gt; exp.audt_process_status then 1 end) as 'NO match audt_process_status', </a:t>
          </a:r>
        </a:p>
        <a:p>
          <a:r>
            <a:rPr lang="en-GB" sz="1100"/>
            <a:t>count(case when prod.audt_process_status is null and exp.audt_process_status is not null then 1 end) as 'prod null exp Not null audt_process_status', </a:t>
          </a:r>
        </a:p>
        <a:p>
          <a:r>
            <a:rPr lang="en-GB" sz="1100"/>
            <a:t>count(case when prod.audt_process_status is not null and exp.audt_process_status is null then 1 end) as 'prod NOT null exp null audt_process_status',</a:t>
          </a:r>
        </a:p>
        <a:p>
          <a:r>
            <a:rPr lang="en-GB" sz="1100"/>
            <a:t>count(case when prod.audt_process_timestamp = exp.audt_process_timestamp or ( prod.audt_process_timestamp is null and exp.audt_process_timestamp is null) then 1 end) as 'match audt_process_timestamp', </a:t>
          </a:r>
        </a:p>
        <a:p>
          <a:r>
            <a:rPr lang="en-GB" sz="1100"/>
            <a:t>count(case when prod.audt_process_timestamp &lt;&gt; exp.audt_process_timestamp then 1 end) as 'NO match audt_process_timestamp', </a:t>
          </a:r>
        </a:p>
        <a:p>
          <a:r>
            <a:rPr lang="en-GB" sz="1100"/>
            <a:t>count(case when prod.audt_process_timestamp is null and exp.audt_process_timestamp is not null then 1 end) as 'prod null exp Not null audt_process_timestamp', </a:t>
          </a:r>
        </a:p>
        <a:p>
          <a:r>
            <a:rPr lang="en-GB" sz="1100"/>
            <a:t>count(case when prod.audt_process_timestamp is not null and exp.audt_process_timestamp is null then 1 end) as 'prod NOT null exp null audt_process_timestamp',</a:t>
          </a:r>
        </a:p>
        <a:p>
          <a:r>
            <a:rPr lang="en-GB" sz="1100"/>
            <a:t>count(case when prod.software_version = exp.software_version or ( prod.software_version is null and exp.software_version is null) then 1 end) as 'match software_version', </a:t>
          </a:r>
        </a:p>
        <a:p>
          <a:r>
            <a:rPr lang="en-GB" sz="1100"/>
            <a:t>count(case when prod.software_version &lt;&gt; exp.software_version then 1 end) as 'NO match software_version', </a:t>
          </a:r>
        </a:p>
        <a:p>
          <a:r>
            <a:rPr lang="en-GB" sz="1100"/>
            <a:t>count(case when prod.software_version is null and exp.software_version is not null then 1 end) as 'prod null exp Not null software_version', </a:t>
          </a:r>
        </a:p>
        <a:p>
          <a:r>
            <a:rPr lang="en-GB" sz="1100"/>
            <a:t>count(case when prod.software_version is not null and exp.software_version is null then 1 end) as 'prod NOT null exp null software_version',</a:t>
          </a:r>
        </a:p>
        <a:p>
          <a:r>
            <a:rPr lang="en-GB" sz="1100"/>
            <a:t>count(case when prod.term_amount_group = exp.term_amount_group or ( prod.term_amount_group is null and exp.term_amount_group is null) then 1 end) as 'match term_amount_group', </a:t>
          </a:r>
        </a:p>
        <a:p>
          <a:r>
            <a:rPr lang="en-GB" sz="1100"/>
            <a:t>count(case when prod.term_amount_group &lt;&gt; exp.term_amount_group then 1 end) as 'NO match term_amount_group', </a:t>
          </a:r>
        </a:p>
        <a:p>
          <a:r>
            <a:rPr lang="en-GB" sz="1100"/>
            <a:t>count(case when prod.term_amount_group is null and exp.term_amount_group is not null then 1 end) as 'prod null exp Not null term_amount_group', </a:t>
          </a:r>
        </a:p>
        <a:p>
          <a:r>
            <a:rPr lang="en-GB" sz="1100"/>
            <a:t>count(case when prod.term_amount_group is not null and exp.term_amount_group is null then 1 end) as 'prod NOT null exp null term_amount_group'</a:t>
          </a:r>
        </a:p>
        <a:p>
          <a:r>
            <a:rPr lang="en-GB" sz="1100"/>
            <a:t>from </a:t>
          </a:r>
        </a:p>
        <a:p>
          <a:r>
            <a:rPr lang="en-GB" sz="1100"/>
            <a:t>(select *</a:t>
          </a:r>
        </a:p>
        <a:p>
          <a:r>
            <a:rPr lang="en-GB" sz="1100"/>
            <a:t>from</a:t>
          </a:r>
        </a:p>
        <a:p>
          <a:r>
            <a:rPr lang="en-GB" sz="1100"/>
            <a:t> prod_retail_capital_enriched.upl_bh_score_model_partitions</a:t>
          </a:r>
        </a:p>
        <a:p>
          <a:r>
            <a:rPr lang="en-GB" sz="1100"/>
            <a:t>where date_processed in ('2024-12-31')</a:t>
          </a:r>
        </a:p>
        <a:p>
          <a:r>
            <a:rPr lang="en-GB" sz="1100"/>
            <a:t>and audt_execution_version in ('ACM2'))prod</a:t>
          </a:r>
        </a:p>
        <a:p>
          <a:r>
            <a:rPr lang="en-GB" sz="1100"/>
            <a:t>full outer join</a:t>
          </a:r>
        </a:p>
        <a:p>
          <a:r>
            <a:rPr lang="en-GB" sz="1100"/>
            <a:t>(select *</a:t>
          </a:r>
        </a:p>
        <a:p>
          <a:r>
            <a:rPr lang="en-GB" sz="1100"/>
            <a:t>from</a:t>
          </a:r>
        </a:p>
        <a:p>
          <a:r>
            <a:rPr lang="en-GB" sz="1100"/>
            <a:t>prod_retail_capital_enriched.upl_bh_score_model_partitions</a:t>
          </a:r>
        </a:p>
        <a:p>
          <a:r>
            <a:rPr lang="en-GB" sz="1100"/>
            <a:t>where date_processed in ('2024-12-31')</a:t>
          </a:r>
        </a:p>
        <a:p>
          <a:r>
            <a:rPr lang="en-GB" sz="1100"/>
            <a:t>and audt_execution_version in ('MCM7') and model = 'ECB' )exp</a:t>
          </a:r>
        </a:p>
        <a:p>
          <a:r>
            <a:rPr lang="en-GB" sz="1100"/>
            <a:t>on exp.cntr_contract_id= prod.cntr_contract_id and exp.date_processed = prod.date_processed </a:t>
          </a:r>
        </a:p>
        <a:p>
          <a:r>
            <a:rPr lang="en-GB" sz="1100"/>
            <a:t>group by exp.date_processed,prod.audt_process_timestamp, exp.audt_process_timestamp, prod.audt_execution_version, exp.model</a:t>
          </a: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EA5E8-52AC-47DC-A380-EC4F72ACE47F}">
  <dimension ref="A1:E46"/>
  <sheetViews>
    <sheetView topLeftCell="A6" workbookViewId="0">
      <selection activeCell="H25" sqref="H25"/>
    </sheetView>
  </sheetViews>
  <sheetFormatPr defaultRowHeight="14.4" x14ac:dyDescent="0.3"/>
  <cols>
    <col min="1" max="1" width="35.33203125" customWidth="1"/>
    <col min="2" max="2" width="70.77734375" customWidth="1"/>
    <col min="3" max="3" width="28.6640625" customWidth="1"/>
    <col min="4" max="4" width="16" customWidth="1"/>
    <col min="5" max="5" width="21" customWidth="1"/>
  </cols>
  <sheetData>
    <row r="1" spans="1:5" x14ac:dyDescent="0.3">
      <c r="A1" s="122" t="s">
        <v>0</v>
      </c>
    </row>
    <row r="4" spans="1:5" ht="15" thickBot="1" x14ac:dyDescent="0.35">
      <c r="A4" s="97"/>
    </row>
    <row r="5" spans="1:5" ht="15" thickBot="1" x14ac:dyDescent="0.35">
      <c r="A5" s="98" t="s">
        <v>1</v>
      </c>
      <c r="B5" s="123" t="s">
        <v>2</v>
      </c>
      <c r="C5" s="124" t="s">
        <v>1525</v>
      </c>
      <c r="D5" s="124" t="s">
        <v>3</v>
      </c>
      <c r="E5" s="124" t="s">
        <v>4</v>
      </c>
    </row>
    <row r="6" spans="1:5" ht="15" thickBot="1" x14ac:dyDescent="0.35">
      <c r="A6" s="99" t="s">
        <v>5</v>
      </c>
      <c r="B6" s="125"/>
      <c r="C6" s="124"/>
      <c r="D6" s="124"/>
      <c r="E6" s="124"/>
    </row>
    <row r="7" spans="1:5" ht="28.8" x14ac:dyDescent="0.3">
      <c r="A7" s="101" t="s">
        <v>6</v>
      </c>
      <c r="B7" s="100" t="s">
        <v>7</v>
      </c>
      <c r="C7" s="126" t="s">
        <v>1526</v>
      </c>
      <c r="D7" s="124" t="s">
        <v>8</v>
      </c>
      <c r="E7" s="124" t="s">
        <v>8</v>
      </c>
    </row>
    <row r="8" spans="1:5" x14ac:dyDescent="0.3">
      <c r="A8" s="101" t="s">
        <v>9</v>
      </c>
      <c r="B8" s="100" t="s">
        <v>10</v>
      </c>
      <c r="C8" s="124"/>
      <c r="D8" s="124"/>
      <c r="E8" s="124"/>
    </row>
    <row r="9" spans="1:5" x14ac:dyDescent="0.3">
      <c r="A9" s="102"/>
      <c r="B9" s="100" t="s">
        <v>11</v>
      </c>
      <c r="C9" s="124"/>
      <c r="D9" s="124"/>
      <c r="E9" s="124"/>
    </row>
    <row r="10" spans="1:5" x14ac:dyDescent="0.3">
      <c r="A10" s="102"/>
      <c r="B10" s="100" t="s">
        <v>12</v>
      </c>
      <c r="C10" s="124"/>
      <c r="D10" s="124"/>
      <c r="E10" s="124"/>
    </row>
    <row r="11" spans="1:5" x14ac:dyDescent="0.3">
      <c r="A11" s="102"/>
      <c r="B11" s="100" t="s">
        <v>13</v>
      </c>
      <c r="C11" s="124"/>
      <c r="D11" s="124"/>
      <c r="E11" s="124"/>
    </row>
    <row r="12" spans="1:5" x14ac:dyDescent="0.3">
      <c r="A12" s="102"/>
      <c r="B12" s="100" t="s">
        <v>14</v>
      </c>
      <c r="C12" s="124"/>
      <c r="D12" s="124"/>
      <c r="E12" s="124"/>
    </row>
    <row r="13" spans="1:5" x14ac:dyDescent="0.3">
      <c r="A13" s="102"/>
      <c r="B13" s="100" t="s">
        <v>15</v>
      </c>
      <c r="C13" s="124"/>
      <c r="D13" s="124"/>
      <c r="E13" s="124"/>
    </row>
    <row r="14" spans="1:5" x14ac:dyDescent="0.3">
      <c r="A14" s="102"/>
      <c r="B14" s="100" t="s">
        <v>16</v>
      </c>
      <c r="C14" s="124"/>
      <c r="D14" s="124"/>
      <c r="E14" s="124"/>
    </row>
    <row r="15" spans="1:5" x14ac:dyDescent="0.3">
      <c r="A15" s="102"/>
      <c r="B15" s="100" t="s">
        <v>17</v>
      </c>
      <c r="C15" s="124"/>
      <c r="D15" s="124"/>
      <c r="E15" s="124"/>
    </row>
    <row r="16" spans="1:5" ht="15" thickBot="1" x14ac:dyDescent="0.35">
      <c r="A16" s="103"/>
      <c r="B16" s="127" t="s">
        <v>18</v>
      </c>
      <c r="C16" s="124"/>
      <c r="D16" s="4"/>
      <c r="E16" s="124"/>
    </row>
    <row r="17" spans="1:5" ht="28.8" x14ac:dyDescent="0.3">
      <c r="A17" s="111" t="s">
        <v>19</v>
      </c>
      <c r="B17" s="100" t="s">
        <v>20</v>
      </c>
      <c r="C17" s="126" t="s">
        <v>1526</v>
      </c>
      <c r="D17" s="124" t="s">
        <v>8</v>
      </c>
      <c r="E17" s="124" t="s">
        <v>8</v>
      </c>
    </row>
    <row r="18" spans="1:5" x14ac:dyDescent="0.3">
      <c r="A18" s="112"/>
      <c r="B18" s="100" t="s">
        <v>21</v>
      </c>
      <c r="C18" s="124"/>
      <c r="D18" s="124"/>
      <c r="E18" s="124"/>
    </row>
    <row r="19" spans="1:5" x14ac:dyDescent="0.3">
      <c r="A19" s="112"/>
      <c r="B19" s="100" t="s">
        <v>22</v>
      </c>
      <c r="C19" s="124"/>
      <c r="D19" s="124"/>
      <c r="E19" s="124"/>
    </row>
    <row r="20" spans="1:5" x14ac:dyDescent="0.3">
      <c r="A20" s="112"/>
      <c r="B20" s="100" t="s">
        <v>23</v>
      </c>
      <c r="C20" s="124"/>
      <c r="D20" s="124"/>
      <c r="E20" s="124"/>
    </row>
    <row r="21" spans="1:5" x14ac:dyDescent="0.3">
      <c r="A21" s="112"/>
      <c r="B21" s="100" t="s">
        <v>24</v>
      </c>
      <c r="C21" s="124"/>
      <c r="D21" s="124"/>
      <c r="E21" s="124"/>
    </row>
    <row r="22" spans="1:5" x14ac:dyDescent="0.3">
      <c r="A22" s="112"/>
      <c r="B22" s="100" t="s">
        <v>25</v>
      </c>
      <c r="C22" s="124"/>
      <c r="D22" s="124"/>
      <c r="E22" s="124"/>
    </row>
    <row r="23" spans="1:5" x14ac:dyDescent="0.3">
      <c r="A23" s="112"/>
      <c r="B23" s="100" t="s">
        <v>26</v>
      </c>
      <c r="C23" s="124"/>
      <c r="D23" s="124"/>
      <c r="E23" s="124"/>
    </row>
    <row r="24" spans="1:5" ht="29.4" thickBot="1" x14ac:dyDescent="0.35">
      <c r="A24" s="113"/>
      <c r="B24" s="127" t="s">
        <v>27</v>
      </c>
      <c r="C24" s="124"/>
      <c r="D24" s="124"/>
      <c r="E24" s="124"/>
    </row>
    <row r="25" spans="1:5" ht="115.2" x14ac:dyDescent="0.3">
      <c r="A25" s="111" t="s">
        <v>28</v>
      </c>
      <c r="B25" s="100" t="s">
        <v>29</v>
      </c>
      <c r="C25" s="126" t="s">
        <v>1527</v>
      </c>
      <c r="D25" s="124"/>
      <c r="E25" s="126" t="s">
        <v>8</v>
      </c>
    </row>
    <row r="26" spans="1:5" x14ac:dyDescent="0.3">
      <c r="A26" s="112"/>
      <c r="B26" s="100" t="s">
        <v>21</v>
      </c>
      <c r="C26" s="124"/>
      <c r="D26" s="124"/>
      <c r="E26" s="124"/>
    </row>
    <row r="27" spans="1:5" ht="15" thickBot="1" x14ac:dyDescent="0.35">
      <c r="A27" s="113"/>
      <c r="B27" s="127" t="s">
        <v>22</v>
      </c>
      <c r="C27" s="124"/>
      <c r="D27" s="124"/>
      <c r="E27" s="124"/>
    </row>
    <row r="28" spans="1:5" ht="28.8" x14ac:dyDescent="0.3">
      <c r="A28" s="111" t="s">
        <v>30</v>
      </c>
      <c r="B28" s="100" t="s">
        <v>31</v>
      </c>
      <c r="C28" s="126" t="s">
        <v>1528</v>
      </c>
      <c r="D28" s="124" t="s">
        <v>8</v>
      </c>
      <c r="E28" s="126" t="s">
        <v>8</v>
      </c>
    </row>
    <row r="29" spans="1:5" ht="15" thickBot="1" x14ac:dyDescent="0.35">
      <c r="A29" s="113"/>
      <c r="B29" s="127" t="s">
        <v>32</v>
      </c>
      <c r="C29" s="124"/>
      <c r="D29" s="124"/>
      <c r="E29" s="124"/>
    </row>
    <row r="30" spans="1:5" ht="29.4" thickBot="1" x14ac:dyDescent="0.35">
      <c r="A30" s="100" t="s">
        <v>33</v>
      </c>
      <c r="B30" s="100" t="s">
        <v>34</v>
      </c>
      <c r="C30" s="126" t="s">
        <v>1529</v>
      </c>
      <c r="D30" s="124"/>
      <c r="E30" s="126" t="s">
        <v>8</v>
      </c>
    </row>
    <row r="31" spans="1:5" ht="15" thickBot="1" x14ac:dyDescent="0.35">
      <c r="A31" s="104" t="s">
        <v>35</v>
      </c>
      <c r="B31" s="128"/>
      <c r="C31" s="124"/>
      <c r="D31" s="124"/>
      <c r="E31" s="124"/>
    </row>
    <row r="32" spans="1:5" ht="28.8" x14ac:dyDescent="0.3">
      <c r="A32" s="111" t="s">
        <v>36</v>
      </c>
      <c r="B32" s="100" t="s">
        <v>37</v>
      </c>
      <c r="C32" s="126" t="s">
        <v>1526</v>
      </c>
      <c r="D32" s="126" t="s">
        <v>8</v>
      </c>
      <c r="E32" s="126" t="s">
        <v>8</v>
      </c>
    </row>
    <row r="33" spans="1:5" x14ac:dyDescent="0.3">
      <c r="A33" s="112"/>
      <c r="B33" s="100" t="s">
        <v>38</v>
      </c>
      <c r="C33" s="124"/>
      <c r="D33" s="124"/>
      <c r="E33" s="124"/>
    </row>
    <row r="34" spans="1:5" ht="15" thickBot="1" x14ac:dyDescent="0.35">
      <c r="A34" s="113"/>
      <c r="B34" s="127" t="s">
        <v>39</v>
      </c>
      <c r="C34" s="124"/>
      <c r="D34" s="124"/>
      <c r="E34" s="124"/>
    </row>
    <row r="35" spans="1:5" ht="28.8" x14ac:dyDescent="0.3">
      <c r="A35" s="111" t="s">
        <v>40</v>
      </c>
      <c r="B35" s="100" t="s">
        <v>41</v>
      </c>
      <c r="C35" s="126" t="s">
        <v>1530</v>
      </c>
      <c r="D35" s="126" t="s">
        <v>8</v>
      </c>
      <c r="E35" s="126" t="s">
        <v>8</v>
      </c>
    </row>
    <row r="36" spans="1:5" ht="15" thickBot="1" x14ac:dyDescent="0.35">
      <c r="A36" s="113"/>
      <c r="B36" s="127" t="s">
        <v>42</v>
      </c>
      <c r="C36" s="124"/>
      <c r="D36" s="124"/>
      <c r="E36" s="124"/>
    </row>
    <row r="37" spans="1:5" ht="28.8" x14ac:dyDescent="0.3">
      <c r="A37" s="111" t="s">
        <v>43</v>
      </c>
      <c r="B37" s="100" t="s">
        <v>44</v>
      </c>
      <c r="C37" s="126" t="s">
        <v>1526</v>
      </c>
      <c r="D37" s="126" t="s">
        <v>8</v>
      </c>
      <c r="E37" s="126" t="s">
        <v>8</v>
      </c>
    </row>
    <row r="38" spans="1:5" x14ac:dyDescent="0.3">
      <c r="A38" s="112"/>
      <c r="B38" s="100" t="s">
        <v>38</v>
      </c>
      <c r="C38" s="124"/>
      <c r="D38" s="124"/>
      <c r="E38" s="124"/>
    </row>
    <row r="39" spans="1:5" x14ac:dyDescent="0.3">
      <c r="A39" s="112"/>
      <c r="B39" s="100" t="s">
        <v>39</v>
      </c>
      <c r="C39" s="124"/>
      <c r="D39" s="124"/>
      <c r="E39" s="124"/>
    </row>
    <row r="40" spans="1:5" ht="29.4" thickBot="1" x14ac:dyDescent="0.35">
      <c r="A40" s="113"/>
      <c r="B40" s="127" t="s">
        <v>45</v>
      </c>
      <c r="C40" s="124"/>
      <c r="D40" s="124"/>
      <c r="E40" s="124"/>
    </row>
    <row r="41" spans="1:5" ht="72" x14ac:dyDescent="0.3">
      <c r="A41" s="111" t="s">
        <v>46</v>
      </c>
      <c r="B41" s="100" t="s">
        <v>47</v>
      </c>
      <c r="C41" s="126" t="s">
        <v>1531</v>
      </c>
      <c r="D41" s="126" t="s">
        <v>8</v>
      </c>
      <c r="E41" s="126" t="s">
        <v>1532</v>
      </c>
    </row>
    <row r="42" spans="1:5" ht="28.8" x14ac:dyDescent="0.3">
      <c r="A42" s="112"/>
      <c r="B42" s="100" t="s">
        <v>48</v>
      </c>
      <c r="C42" s="124"/>
      <c r="D42" s="124"/>
      <c r="E42" s="124"/>
    </row>
    <row r="43" spans="1:5" x14ac:dyDescent="0.3">
      <c r="A43" s="112"/>
      <c r="B43" s="100" t="s">
        <v>49</v>
      </c>
      <c r="C43" s="124"/>
      <c r="D43" s="124"/>
      <c r="E43" s="124"/>
    </row>
    <row r="44" spans="1:5" ht="15" thickBot="1" x14ac:dyDescent="0.35">
      <c r="A44" s="113"/>
      <c r="B44" s="127" t="s">
        <v>50</v>
      </c>
      <c r="C44" s="124"/>
      <c r="D44" s="124"/>
      <c r="E44" s="124"/>
    </row>
    <row r="45" spans="1:5" ht="29.4" thickBot="1" x14ac:dyDescent="0.35">
      <c r="A45" s="105" t="s">
        <v>33</v>
      </c>
      <c r="B45" s="127" t="s">
        <v>34</v>
      </c>
      <c r="C45" s="126" t="s">
        <v>1529</v>
      </c>
      <c r="D45" s="126" t="s">
        <v>8</v>
      </c>
      <c r="E45" s="126" t="s">
        <v>8</v>
      </c>
    </row>
    <row r="46" spans="1:5" x14ac:dyDescent="0.3">
      <c r="A46" s="97"/>
    </row>
  </sheetData>
  <mergeCells count="7">
    <mergeCell ref="A41:A44"/>
    <mergeCell ref="A17:A24"/>
    <mergeCell ref="A25:A27"/>
    <mergeCell ref="A28:A29"/>
    <mergeCell ref="A32:A34"/>
    <mergeCell ref="A35:A36"/>
    <mergeCell ref="A37:A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0DA35-B411-468E-95B5-2B4B89E299AE}">
  <dimension ref="A2:BG197"/>
  <sheetViews>
    <sheetView topLeftCell="A25" zoomScaleNormal="100" workbookViewId="0">
      <selection activeCell="BH6" sqref="BH6"/>
    </sheetView>
  </sheetViews>
  <sheetFormatPr defaultRowHeight="14.4" x14ac:dyDescent="0.3"/>
  <cols>
    <col min="3" max="3" width="26.5546875" bestFit="1" customWidth="1"/>
    <col min="4" max="4" width="27.44140625" bestFit="1" customWidth="1"/>
    <col min="5" max="5" width="32.5546875" customWidth="1"/>
    <col min="6" max="6" width="15" bestFit="1" customWidth="1"/>
    <col min="7" max="7" width="18.44140625" bestFit="1" customWidth="1"/>
    <col min="8" max="8" width="19.88671875" bestFit="1" customWidth="1"/>
    <col min="9" max="9" width="9.88671875" bestFit="1" customWidth="1"/>
    <col min="10" max="10" width="22.88671875" customWidth="1"/>
    <col min="11" max="11" width="20.109375" bestFit="1" customWidth="1"/>
    <col min="12" max="12" width="28.44140625" bestFit="1" customWidth="1"/>
    <col min="13" max="13" width="15.109375" bestFit="1" customWidth="1"/>
    <col min="14" max="14" width="15.5546875" bestFit="1" customWidth="1"/>
    <col min="15" max="15" width="15.109375" bestFit="1" customWidth="1"/>
    <col min="16" max="16" width="11.109375" bestFit="1" customWidth="1"/>
    <col min="17" max="17" width="8.5546875" customWidth="1"/>
    <col min="18" max="18" width="9.5546875" bestFit="1" customWidth="1"/>
  </cols>
  <sheetData>
    <row r="2" spans="1:59" x14ac:dyDescent="0.3">
      <c r="B2" s="1" t="s">
        <v>51</v>
      </c>
      <c r="C2" s="1"/>
      <c r="D2" s="1"/>
      <c r="E2" s="1"/>
      <c r="F2" s="1"/>
      <c r="G2" s="1"/>
      <c r="H2" s="1"/>
      <c r="I2" s="1"/>
      <c r="J2" s="1"/>
      <c r="K2" s="1"/>
      <c r="L2" s="1"/>
      <c r="M2" s="1"/>
      <c r="N2" s="1"/>
      <c r="O2" s="1"/>
      <c r="P2" s="1"/>
    </row>
    <row r="3" spans="1:59" x14ac:dyDescent="0.3">
      <c r="B3" s="2"/>
    </row>
    <row r="4" spans="1:59" x14ac:dyDescent="0.3">
      <c r="B4" s="2"/>
    </row>
    <row r="5" spans="1:59" x14ac:dyDescent="0.3">
      <c r="C5" s="3" t="s">
        <v>52</v>
      </c>
      <c r="D5" s="3"/>
      <c r="E5" s="3"/>
      <c r="F5" s="3"/>
      <c r="G5" s="3"/>
      <c r="H5" s="3"/>
      <c r="I5" s="3"/>
      <c r="J5" s="3"/>
      <c r="K5" s="3"/>
      <c r="L5" s="3"/>
      <c r="M5" s="3"/>
      <c r="N5" s="3"/>
      <c r="O5" s="3"/>
      <c r="P5" s="3"/>
    </row>
    <row r="6" spans="1:59" x14ac:dyDescent="0.3">
      <c r="B6"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t="s">
        <v>70</v>
      </c>
      <c r="T6" t="s">
        <v>71</v>
      </c>
      <c r="U6" t="s">
        <v>72</v>
      </c>
      <c r="V6" t="s">
        <v>73</v>
      </c>
      <c r="W6" t="s">
        <v>74</v>
      </c>
      <c r="X6" t="s">
        <v>75</v>
      </c>
      <c r="Y6" t="s">
        <v>76</v>
      </c>
      <c r="Z6" t="s">
        <v>77</v>
      </c>
      <c r="AA6" t="s">
        <v>78</v>
      </c>
      <c r="AB6" t="s">
        <v>79</v>
      </c>
      <c r="AC6" t="s">
        <v>80</v>
      </c>
      <c r="AD6" t="s">
        <v>81</v>
      </c>
      <c r="AE6" t="s">
        <v>82</v>
      </c>
      <c r="AF6" t="s">
        <v>83</v>
      </c>
      <c r="AG6" t="s">
        <v>84</v>
      </c>
      <c r="AH6" t="s">
        <v>85</v>
      </c>
      <c r="AI6" t="s">
        <v>86</v>
      </c>
      <c r="AJ6" t="s">
        <v>87</v>
      </c>
      <c r="AK6" t="s">
        <v>88</v>
      </c>
      <c r="AL6" t="s">
        <v>89</v>
      </c>
      <c r="AM6" t="s">
        <v>90</v>
      </c>
      <c r="AN6" t="s">
        <v>91</v>
      </c>
      <c r="AO6" t="s">
        <v>92</v>
      </c>
      <c r="AP6" t="s">
        <v>93</v>
      </c>
      <c r="AQ6" t="s">
        <v>94</v>
      </c>
      <c r="AR6" t="s">
        <v>95</v>
      </c>
      <c r="AS6" t="s">
        <v>96</v>
      </c>
      <c r="AT6" t="s">
        <v>97</v>
      </c>
      <c r="AU6" t="s">
        <v>98</v>
      </c>
      <c r="AV6" t="s">
        <v>99</v>
      </c>
      <c r="AW6" t="s">
        <v>100</v>
      </c>
      <c r="AX6" t="s">
        <v>101</v>
      </c>
      <c r="AY6" t="s">
        <v>102</v>
      </c>
      <c r="AZ6" t="s">
        <v>103</v>
      </c>
      <c r="BA6" t="s">
        <v>104</v>
      </c>
      <c r="BB6" t="s">
        <v>105</v>
      </c>
      <c r="BC6" t="s">
        <v>106</v>
      </c>
      <c r="BD6" t="s">
        <v>107</v>
      </c>
      <c r="BE6" t="s">
        <v>108</v>
      </c>
      <c r="BF6" t="s">
        <v>109</v>
      </c>
      <c r="BG6" t="s">
        <v>110</v>
      </c>
    </row>
    <row r="7" spans="1:59" x14ac:dyDescent="0.3">
      <c r="C7" s="5">
        <v>45657</v>
      </c>
      <c r="D7" s="4">
        <v>13804997</v>
      </c>
      <c r="E7" s="4">
        <v>13804997</v>
      </c>
      <c r="F7" s="4">
        <v>0</v>
      </c>
      <c r="G7" s="4">
        <v>0</v>
      </c>
      <c r="H7" s="4">
        <v>0</v>
      </c>
      <c r="I7" s="4">
        <v>0</v>
      </c>
      <c r="J7" s="4">
        <v>0</v>
      </c>
      <c r="K7" s="4">
        <v>0</v>
      </c>
      <c r="L7" s="4">
        <v>0</v>
      </c>
      <c r="M7" s="4">
        <v>0</v>
      </c>
      <c r="N7" s="4">
        <v>0</v>
      </c>
      <c r="O7" s="4">
        <v>0</v>
      </c>
      <c r="P7" s="4">
        <v>0</v>
      </c>
      <c r="Q7" s="4">
        <v>0</v>
      </c>
      <c r="R7" s="4">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row>
    <row r="8" spans="1:59" x14ac:dyDescent="0.3">
      <c r="B8" t="s">
        <v>111</v>
      </c>
      <c r="C8" s="4"/>
      <c r="D8" s="4"/>
      <c r="E8" s="4"/>
      <c r="F8" s="28">
        <f t="shared" ref="F8:AK8" si="0">($D$37-F7)/$D$37</f>
        <v>1</v>
      </c>
      <c r="G8" s="28">
        <f t="shared" si="0"/>
        <v>1</v>
      </c>
      <c r="H8" s="28">
        <f t="shared" si="0"/>
        <v>1</v>
      </c>
      <c r="I8" s="28">
        <f t="shared" si="0"/>
        <v>1</v>
      </c>
      <c r="J8" s="28">
        <f t="shared" si="0"/>
        <v>1</v>
      </c>
      <c r="K8" s="28">
        <f t="shared" si="0"/>
        <v>1</v>
      </c>
      <c r="L8" s="28">
        <f t="shared" si="0"/>
        <v>1</v>
      </c>
      <c r="M8" s="28">
        <f t="shared" si="0"/>
        <v>1</v>
      </c>
      <c r="N8" s="28">
        <f t="shared" si="0"/>
        <v>1</v>
      </c>
      <c r="O8" s="28">
        <f t="shared" si="0"/>
        <v>1</v>
      </c>
      <c r="P8" s="28">
        <f t="shared" si="0"/>
        <v>1</v>
      </c>
      <c r="Q8" s="28">
        <f t="shared" si="0"/>
        <v>1</v>
      </c>
      <c r="R8" s="28">
        <f t="shared" si="0"/>
        <v>1</v>
      </c>
      <c r="S8" s="28">
        <f t="shared" si="0"/>
        <v>1</v>
      </c>
      <c r="T8" s="28">
        <f t="shared" si="0"/>
        <v>1</v>
      </c>
      <c r="U8" s="28">
        <f t="shared" si="0"/>
        <v>1</v>
      </c>
      <c r="V8" s="28">
        <f t="shared" si="0"/>
        <v>1</v>
      </c>
      <c r="W8" s="28">
        <f t="shared" si="0"/>
        <v>1</v>
      </c>
      <c r="X8" s="28">
        <f t="shared" si="0"/>
        <v>1</v>
      </c>
      <c r="Y8" s="28">
        <f t="shared" si="0"/>
        <v>1</v>
      </c>
      <c r="Z8" s="28">
        <f t="shared" si="0"/>
        <v>1</v>
      </c>
      <c r="AA8" s="28">
        <f t="shared" si="0"/>
        <v>1</v>
      </c>
      <c r="AB8" s="28">
        <f t="shared" si="0"/>
        <v>1</v>
      </c>
      <c r="AC8" s="28">
        <f t="shared" si="0"/>
        <v>1</v>
      </c>
      <c r="AD8" s="28">
        <f t="shared" si="0"/>
        <v>1</v>
      </c>
      <c r="AE8" s="28">
        <f t="shared" si="0"/>
        <v>1</v>
      </c>
      <c r="AF8" s="28">
        <f t="shared" si="0"/>
        <v>1</v>
      </c>
      <c r="AG8" s="28">
        <f t="shared" si="0"/>
        <v>1</v>
      </c>
      <c r="AH8" s="28">
        <f t="shared" si="0"/>
        <v>1</v>
      </c>
      <c r="AI8" s="28">
        <f t="shared" si="0"/>
        <v>1</v>
      </c>
      <c r="AJ8" s="28">
        <f t="shared" si="0"/>
        <v>1</v>
      </c>
      <c r="AK8" s="28">
        <f t="shared" si="0"/>
        <v>1</v>
      </c>
      <c r="AL8" s="28">
        <f t="shared" ref="AL8:BG8" si="1">($D$37-AL7)/$D$37</f>
        <v>1</v>
      </c>
      <c r="AM8" s="28">
        <f t="shared" si="1"/>
        <v>1</v>
      </c>
      <c r="AN8" s="28">
        <f t="shared" si="1"/>
        <v>1</v>
      </c>
      <c r="AO8" s="28">
        <f t="shared" si="1"/>
        <v>1</v>
      </c>
      <c r="AP8" s="28">
        <f t="shared" si="1"/>
        <v>1</v>
      </c>
      <c r="AQ8" s="28">
        <f t="shared" si="1"/>
        <v>1</v>
      </c>
      <c r="AR8" s="28">
        <f t="shared" si="1"/>
        <v>1</v>
      </c>
      <c r="AS8" s="28">
        <f t="shared" si="1"/>
        <v>1</v>
      </c>
      <c r="AT8" s="28">
        <f t="shared" si="1"/>
        <v>1</v>
      </c>
      <c r="AU8" s="28">
        <f t="shared" si="1"/>
        <v>1</v>
      </c>
      <c r="AV8" s="28">
        <f t="shared" si="1"/>
        <v>1</v>
      </c>
      <c r="AW8" s="28">
        <f t="shared" si="1"/>
        <v>1</v>
      </c>
      <c r="AX8" s="28">
        <f t="shared" si="1"/>
        <v>1</v>
      </c>
      <c r="AY8" s="28">
        <f t="shared" si="1"/>
        <v>1</v>
      </c>
      <c r="AZ8" s="28">
        <f t="shared" si="1"/>
        <v>1</v>
      </c>
      <c r="BA8" s="28">
        <f t="shared" si="1"/>
        <v>1</v>
      </c>
      <c r="BB8" s="28">
        <f t="shared" si="1"/>
        <v>1</v>
      </c>
      <c r="BC8" s="28">
        <f t="shared" si="1"/>
        <v>1</v>
      </c>
      <c r="BD8" s="28">
        <f t="shared" si="1"/>
        <v>1</v>
      </c>
      <c r="BE8" s="28">
        <f t="shared" si="1"/>
        <v>1</v>
      </c>
      <c r="BF8" s="28">
        <f t="shared" si="1"/>
        <v>1</v>
      </c>
      <c r="BG8" s="28">
        <f t="shared" si="1"/>
        <v>1</v>
      </c>
    </row>
    <row r="9" spans="1:59" x14ac:dyDescent="0.3">
      <c r="C9" s="8"/>
      <c r="D9" s="8"/>
      <c r="E9" s="8"/>
      <c r="F9" s="8"/>
      <c r="G9" s="8"/>
      <c r="H9" s="8"/>
      <c r="I9" s="8"/>
      <c r="J9" s="8"/>
      <c r="K9" s="8"/>
      <c r="L9" s="8"/>
      <c r="M9" s="8"/>
      <c r="N9" s="9"/>
      <c r="O9" s="9"/>
      <c r="P9" s="64"/>
      <c r="Q9" s="8"/>
      <c r="R9" s="8"/>
    </row>
    <row r="10" spans="1:59" x14ac:dyDescent="0.3">
      <c r="B10" t="s">
        <v>112</v>
      </c>
      <c r="C10" s="4" t="s">
        <v>54</v>
      </c>
      <c r="D10" s="4" t="s">
        <v>55</v>
      </c>
      <c r="E10" s="4" t="s">
        <v>56</v>
      </c>
      <c r="F10" s="4" t="s">
        <v>57</v>
      </c>
      <c r="G10" s="4" t="s">
        <v>58</v>
      </c>
      <c r="H10" s="4" t="s">
        <v>59</v>
      </c>
      <c r="I10" s="4" t="s">
        <v>60</v>
      </c>
      <c r="J10" s="4" t="s">
        <v>61</v>
      </c>
      <c r="K10" s="4" t="s">
        <v>62</v>
      </c>
      <c r="L10" s="4" t="s">
        <v>63</v>
      </c>
      <c r="M10" s="4" t="s">
        <v>64</v>
      </c>
      <c r="N10" s="4" t="s">
        <v>65</v>
      </c>
      <c r="O10" s="4" t="s">
        <v>66</v>
      </c>
      <c r="P10" s="4" t="s">
        <v>67</v>
      </c>
      <c r="Q10" s="4" t="s">
        <v>68</v>
      </c>
      <c r="R10" s="4" t="s">
        <v>69</v>
      </c>
      <c r="S10" t="s">
        <v>70</v>
      </c>
      <c r="T10" t="s">
        <v>71</v>
      </c>
      <c r="U10" t="s">
        <v>72</v>
      </c>
      <c r="V10" t="s">
        <v>73</v>
      </c>
      <c r="W10" t="s">
        <v>74</v>
      </c>
      <c r="X10" t="s">
        <v>75</v>
      </c>
      <c r="Y10" t="s">
        <v>76</v>
      </c>
      <c r="Z10" t="s">
        <v>77</v>
      </c>
      <c r="AA10" t="s">
        <v>78</v>
      </c>
      <c r="AB10" t="s">
        <v>79</v>
      </c>
      <c r="AC10" t="s">
        <v>80</v>
      </c>
      <c r="AD10" t="s">
        <v>81</v>
      </c>
      <c r="AE10" t="s">
        <v>82</v>
      </c>
      <c r="AF10" t="s">
        <v>83</v>
      </c>
      <c r="AG10" t="s">
        <v>84</v>
      </c>
      <c r="AH10" t="s">
        <v>85</v>
      </c>
      <c r="AI10" t="s">
        <v>86</v>
      </c>
      <c r="AJ10" t="s">
        <v>87</v>
      </c>
      <c r="AK10" t="s">
        <v>88</v>
      </c>
      <c r="AL10" t="s">
        <v>89</v>
      </c>
      <c r="AM10" t="s">
        <v>90</v>
      </c>
      <c r="AN10" t="s">
        <v>91</v>
      </c>
      <c r="AO10" t="s">
        <v>92</v>
      </c>
      <c r="AP10" t="s">
        <v>93</v>
      </c>
      <c r="AQ10" t="s">
        <v>94</v>
      </c>
      <c r="AR10" t="s">
        <v>95</v>
      </c>
      <c r="AS10" t="s">
        <v>96</v>
      </c>
      <c r="AT10" t="s">
        <v>97</v>
      </c>
      <c r="AU10" t="s">
        <v>98</v>
      </c>
      <c r="AV10" t="s">
        <v>99</v>
      </c>
      <c r="AW10" t="s">
        <v>100</v>
      </c>
      <c r="AX10" t="s">
        <v>101</v>
      </c>
      <c r="AY10" t="s">
        <v>102</v>
      </c>
      <c r="AZ10" t="s">
        <v>103</v>
      </c>
      <c r="BA10" t="s">
        <v>104</v>
      </c>
      <c r="BB10" t="s">
        <v>105</v>
      </c>
      <c r="BC10" t="s">
        <v>106</v>
      </c>
      <c r="BD10" t="s">
        <v>107</v>
      </c>
      <c r="BE10" t="s">
        <v>108</v>
      </c>
      <c r="BF10" t="s">
        <v>109</v>
      </c>
      <c r="BG10" t="s">
        <v>110</v>
      </c>
    </row>
    <row r="11" spans="1:59" x14ac:dyDescent="0.3">
      <c r="C11" s="5">
        <v>45657</v>
      </c>
      <c r="D11" s="4">
        <v>13804997</v>
      </c>
      <c r="E11" s="4">
        <v>13804997</v>
      </c>
      <c r="F11" s="4">
        <v>0</v>
      </c>
      <c r="G11" s="4">
        <v>0</v>
      </c>
      <c r="H11" s="4">
        <v>0</v>
      </c>
      <c r="I11" s="4">
        <v>0</v>
      </c>
      <c r="J11" s="4">
        <v>0</v>
      </c>
      <c r="K11" s="4">
        <v>0</v>
      </c>
      <c r="L11" s="4">
        <v>0</v>
      </c>
      <c r="M11" s="4">
        <v>0</v>
      </c>
      <c r="N11" s="4">
        <v>0</v>
      </c>
      <c r="O11" s="4">
        <v>0</v>
      </c>
      <c r="P11" s="4">
        <v>0</v>
      </c>
      <c r="Q11" s="4">
        <v>0</v>
      </c>
      <c r="R11" s="4">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row>
    <row r="12" spans="1:59" x14ac:dyDescent="0.3">
      <c r="B12" t="s">
        <v>111</v>
      </c>
      <c r="C12" s="4"/>
      <c r="D12" s="4"/>
      <c r="E12" s="4"/>
      <c r="F12" s="28">
        <f t="shared" ref="F12:AK12" si="2">($D$37-F11)/$D$37</f>
        <v>1</v>
      </c>
      <c r="G12" s="28">
        <f t="shared" si="2"/>
        <v>1</v>
      </c>
      <c r="H12" s="28">
        <f t="shared" si="2"/>
        <v>1</v>
      </c>
      <c r="I12" s="28">
        <f t="shared" si="2"/>
        <v>1</v>
      </c>
      <c r="J12" s="28">
        <f t="shared" si="2"/>
        <v>1</v>
      </c>
      <c r="K12" s="28">
        <f t="shared" si="2"/>
        <v>1</v>
      </c>
      <c r="L12" s="28">
        <f t="shared" si="2"/>
        <v>1</v>
      </c>
      <c r="M12" s="28">
        <f t="shared" si="2"/>
        <v>1</v>
      </c>
      <c r="N12" s="28">
        <f t="shared" si="2"/>
        <v>1</v>
      </c>
      <c r="O12" s="28">
        <f t="shared" si="2"/>
        <v>1</v>
      </c>
      <c r="P12" s="28">
        <f t="shared" si="2"/>
        <v>1</v>
      </c>
      <c r="Q12" s="28">
        <f t="shared" si="2"/>
        <v>1</v>
      </c>
      <c r="R12" s="28">
        <f t="shared" si="2"/>
        <v>1</v>
      </c>
      <c r="S12" s="28">
        <f t="shared" si="2"/>
        <v>1</v>
      </c>
      <c r="T12" s="28">
        <f t="shared" si="2"/>
        <v>1</v>
      </c>
      <c r="U12" s="28">
        <f t="shared" si="2"/>
        <v>1</v>
      </c>
      <c r="V12" s="28">
        <f t="shared" si="2"/>
        <v>1</v>
      </c>
      <c r="W12" s="28">
        <f t="shared" si="2"/>
        <v>1</v>
      </c>
      <c r="X12" s="28">
        <f t="shared" si="2"/>
        <v>1</v>
      </c>
      <c r="Y12" s="28">
        <f t="shared" si="2"/>
        <v>1</v>
      </c>
      <c r="Z12" s="28">
        <f t="shared" si="2"/>
        <v>1</v>
      </c>
      <c r="AA12" s="28">
        <f t="shared" si="2"/>
        <v>1</v>
      </c>
      <c r="AB12" s="28">
        <f t="shared" si="2"/>
        <v>1</v>
      </c>
      <c r="AC12" s="28">
        <f t="shared" si="2"/>
        <v>1</v>
      </c>
      <c r="AD12" s="28">
        <f t="shared" si="2"/>
        <v>1</v>
      </c>
      <c r="AE12" s="28">
        <f t="shared" si="2"/>
        <v>1</v>
      </c>
      <c r="AF12" s="28">
        <f t="shared" si="2"/>
        <v>1</v>
      </c>
      <c r="AG12" s="28">
        <f t="shared" si="2"/>
        <v>1</v>
      </c>
      <c r="AH12" s="28">
        <f t="shared" si="2"/>
        <v>1</v>
      </c>
      <c r="AI12" s="28">
        <f t="shared" si="2"/>
        <v>1</v>
      </c>
      <c r="AJ12" s="28">
        <f t="shared" si="2"/>
        <v>1</v>
      </c>
      <c r="AK12" s="28">
        <f t="shared" si="2"/>
        <v>1</v>
      </c>
      <c r="AL12" s="28">
        <f t="shared" ref="AL12:BG12" si="3">($D$37-AL11)/$D$37</f>
        <v>1</v>
      </c>
      <c r="AM12" s="28">
        <f t="shared" si="3"/>
        <v>1</v>
      </c>
      <c r="AN12" s="28">
        <f t="shared" si="3"/>
        <v>1</v>
      </c>
      <c r="AO12" s="28">
        <f t="shared" si="3"/>
        <v>1</v>
      </c>
      <c r="AP12" s="28">
        <f t="shared" si="3"/>
        <v>1</v>
      </c>
      <c r="AQ12" s="28">
        <f t="shared" si="3"/>
        <v>1</v>
      </c>
      <c r="AR12" s="28">
        <f t="shared" si="3"/>
        <v>1</v>
      </c>
      <c r="AS12" s="28">
        <f t="shared" si="3"/>
        <v>1</v>
      </c>
      <c r="AT12" s="28">
        <f t="shared" si="3"/>
        <v>1</v>
      </c>
      <c r="AU12" s="28">
        <f t="shared" si="3"/>
        <v>1</v>
      </c>
      <c r="AV12" s="28">
        <f t="shared" si="3"/>
        <v>1</v>
      </c>
      <c r="AW12" s="28">
        <f t="shared" si="3"/>
        <v>1</v>
      </c>
      <c r="AX12" s="28">
        <f t="shared" si="3"/>
        <v>1</v>
      </c>
      <c r="AY12" s="28">
        <f t="shared" si="3"/>
        <v>1</v>
      </c>
      <c r="AZ12" s="28">
        <f t="shared" si="3"/>
        <v>1</v>
      </c>
      <c r="BA12" s="28">
        <f t="shared" si="3"/>
        <v>1</v>
      </c>
      <c r="BB12" s="28">
        <f t="shared" si="3"/>
        <v>1</v>
      </c>
      <c r="BC12" s="28">
        <f t="shared" si="3"/>
        <v>1</v>
      </c>
      <c r="BD12" s="28">
        <f t="shared" si="3"/>
        <v>1</v>
      </c>
      <c r="BE12" s="28">
        <f t="shared" si="3"/>
        <v>1</v>
      </c>
      <c r="BF12" s="28">
        <f t="shared" si="3"/>
        <v>1</v>
      </c>
      <c r="BG12" s="28">
        <f t="shared" si="3"/>
        <v>1</v>
      </c>
    </row>
    <row r="13" spans="1:59" s="19" customFormat="1" x14ac:dyDescent="0.3">
      <c r="A13"/>
      <c r="B13"/>
      <c r="C13" s="14"/>
      <c r="D13" s="65"/>
      <c r="E13" s="66"/>
      <c r="F13" s="66"/>
      <c r="G13" s="66"/>
      <c r="H13" s="67"/>
      <c r="I13" s="67"/>
      <c r="J13" s="67"/>
      <c r="K13" s="67"/>
      <c r="L13" s="18"/>
      <c r="M13" s="18"/>
      <c r="N13" s="12"/>
      <c r="O13" s="12"/>
      <c r="P13" s="14"/>
      <c r="Q13" s="14"/>
      <c r="R13" s="14"/>
    </row>
    <row r="14" spans="1:59" s="19" customFormat="1" x14ac:dyDescent="0.3">
      <c r="C14" s="14"/>
      <c r="D14" s="65"/>
      <c r="E14" s="66"/>
      <c r="F14" s="66"/>
      <c r="G14" s="66"/>
      <c r="H14" s="67"/>
      <c r="I14" s="67"/>
      <c r="J14" s="67"/>
      <c r="K14" s="67"/>
      <c r="L14" s="67"/>
      <c r="M14" s="67"/>
      <c r="N14" s="12"/>
      <c r="O14" s="12"/>
      <c r="P14" s="14"/>
      <c r="Q14" s="14"/>
      <c r="R14" s="14"/>
    </row>
    <row r="15" spans="1:59" x14ac:dyDescent="0.3">
      <c r="C15" s="3" t="s">
        <v>113</v>
      </c>
      <c r="D15" s="3"/>
      <c r="E15" s="3"/>
      <c r="F15" s="3"/>
      <c r="G15" s="3"/>
      <c r="H15" s="3"/>
      <c r="I15" s="3"/>
      <c r="J15" s="3"/>
      <c r="K15" s="3"/>
      <c r="L15" s="3"/>
      <c r="M15" s="3"/>
      <c r="N15" s="3"/>
      <c r="O15" s="3"/>
      <c r="P15" s="3"/>
    </row>
    <row r="17" spans="2:16" x14ac:dyDescent="0.3">
      <c r="C17" s="21" t="s">
        <v>114</v>
      </c>
    </row>
    <row r="18" spans="2:16" ht="14.4" customHeight="1" x14ac:dyDescent="0.3">
      <c r="D18" s="114" t="s">
        <v>115</v>
      </c>
      <c r="E18" s="114"/>
      <c r="F18" s="114"/>
      <c r="G18" s="114"/>
      <c r="H18" s="114"/>
      <c r="I18" s="114"/>
      <c r="J18" s="114"/>
      <c r="K18" s="114"/>
      <c r="L18" s="114"/>
      <c r="M18" s="114"/>
      <c r="N18" s="114"/>
    </row>
    <row r="19" spans="2:16" x14ac:dyDescent="0.3">
      <c r="C19" s="20" t="s">
        <v>116</v>
      </c>
    </row>
    <row r="20" spans="2:16" ht="14.4" customHeight="1" x14ac:dyDescent="0.3">
      <c r="D20" s="114" t="s">
        <v>117</v>
      </c>
      <c r="E20" s="114"/>
      <c r="F20" s="114"/>
      <c r="G20" s="114"/>
      <c r="H20" s="114"/>
      <c r="I20" s="114"/>
      <c r="J20" s="114"/>
      <c r="K20" s="114"/>
      <c r="L20" s="114"/>
      <c r="M20" s="114"/>
      <c r="N20" s="114"/>
      <c r="O20" s="22"/>
      <c r="P20" s="22"/>
    </row>
    <row r="21" spans="2:16" x14ac:dyDescent="0.3">
      <c r="C21" s="21" t="s">
        <v>118</v>
      </c>
    </row>
    <row r="22" spans="2:16" x14ac:dyDescent="0.3">
      <c r="D22" s="115"/>
      <c r="E22" s="115"/>
      <c r="F22" s="115"/>
      <c r="G22" s="115"/>
      <c r="H22" s="115"/>
      <c r="I22" s="115"/>
      <c r="J22" s="115"/>
      <c r="K22" s="115"/>
      <c r="L22" s="115"/>
      <c r="M22" s="115"/>
      <c r="N22" s="115"/>
      <c r="O22" s="115"/>
      <c r="P22" s="115"/>
    </row>
    <row r="23" spans="2:16" x14ac:dyDescent="0.3">
      <c r="C23" s="21" t="s">
        <v>119</v>
      </c>
    </row>
    <row r="24" spans="2:16" x14ac:dyDescent="0.3">
      <c r="D24" s="115"/>
      <c r="E24" s="115"/>
      <c r="F24" s="115"/>
      <c r="G24" s="115"/>
      <c r="H24" s="115"/>
      <c r="I24" s="115"/>
      <c r="J24" s="115"/>
      <c r="K24" s="115"/>
      <c r="L24" s="115"/>
      <c r="M24" s="115"/>
      <c r="N24" s="115"/>
      <c r="O24" s="115"/>
      <c r="P24" s="115"/>
    </row>
    <row r="25" spans="2:16" x14ac:dyDescent="0.3">
      <c r="D25" s="22"/>
      <c r="E25" s="22"/>
      <c r="F25" s="22"/>
      <c r="G25" s="22"/>
      <c r="H25" s="22"/>
      <c r="I25" s="22"/>
      <c r="J25" s="22"/>
      <c r="K25" s="22"/>
      <c r="L25" s="22"/>
      <c r="M25" s="22"/>
      <c r="N25" s="22"/>
      <c r="O25" s="22"/>
      <c r="P25" s="22"/>
    </row>
    <row r="26" spans="2:16" x14ac:dyDescent="0.3">
      <c r="C26" s="3" t="s">
        <v>120</v>
      </c>
      <c r="D26" s="23"/>
      <c r="E26" s="23"/>
      <c r="F26" s="3"/>
      <c r="G26" s="3"/>
      <c r="H26" s="3"/>
      <c r="I26" s="3"/>
      <c r="J26" s="3"/>
      <c r="K26" s="3"/>
      <c r="L26" s="3"/>
      <c r="M26" s="3"/>
      <c r="N26" s="3"/>
      <c r="O26" s="3"/>
      <c r="P26" s="3"/>
    </row>
    <row r="29" spans="2:16" x14ac:dyDescent="0.3">
      <c r="C29" s="3" t="s">
        <v>121</v>
      </c>
      <c r="D29" s="3"/>
      <c r="E29" s="3"/>
      <c r="F29" s="3"/>
      <c r="G29" s="3"/>
      <c r="H29" s="3"/>
      <c r="I29" s="3"/>
      <c r="J29" s="3"/>
      <c r="K29" s="3"/>
      <c r="L29" s="3"/>
      <c r="M29" s="3"/>
      <c r="N29" s="3"/>
      <c r="O29" s="3"/>
      <c r="P29" s="3"/>
    </row>
    <row r="32" spans="2:16" x14ac:dyDescent="0.3">
      <c r="B32" s="1" t="s">
        <v>122</v>
      </c>
      <c r="C32" s="1"/>
      <c r="D32" s="1"/>
      <c r="E32" s="1"/>
      <c r="F32" s="1"/>
      <c r="G32" s="1"/>
      <c r="H32" s="1"/>
      <c r="I32" s="1"/>
      <c r="J32" s="1"/>
      <c r="K32" s="1"/>
      <c r="L32" s="1"/>
      <c r="M32" s="1"/>
      <c r="N32" s="1"/>
      <c r="O32" s="1"/>
      <c r="P32" s="1"/>
    </row>
    <row r="33" spans="1:18" x14ac:dyDescent="0.3">
      <c r="B33" s="2"/>
    </row>
    <row r="34" spans="1:18" x14ac:dyDescent="0.3">
      <c r="B34" s="2"/>
    </row>
    <row r="35" spans="1:18" x14ac:dyDescent="0.3">
      <c r="C35" s="3" t="s">
        <v>52</v>
      </c>
      <c r="D35" s="3"/>
      <c r="E35" s="3"/>
      <c r="F35" s="3"/>
      <c r="G35" s="3"/>
      <c r="H35" s="3"/>
      <c r="I35" s="3"/>
      <c r="J35" s="3"/>
      <c r="K35" s="3"/>
      <c r="L35" s="3"/>
      <c r="M35" s="3"/>
      <c r="N35" s="3"/>
      <c r="O35" s="3"/>
      <c r="P35" s="3"/>
    </row>
    <row r="36" spans="1:18" x14ac:dyDescent="0.3">
      <c r="C36" s="4" t="s">
        <v>54</v>
      </c>
      <c r="D36" s="4" t="s">
        <v>55</v>
      </c>
      <c r="E36" s="4" t="s">
        <v>56</v>
      </c>
      <c r="F36" s="4" t="s">
        <v>57</v>
      </c>
      <c r="G36" s="4" t="s">
        <v>123</v>
      </c>
      <c r="H36" s="4" t="s">
        <v>124</v>
      </c>
      <c r="I36" s="4" t="s">
        <v>125</v>
      </c>
      <c r="J36" s="4" t="s">
        <v>126</v>
      </c>
      <c r="K36" s="4" t="s">
        <v>127</v>
      </c>
      <c r="L36" s="4" t="s">
        <v>128</v>
      </c>
      <c r="M36" s="4" t="s">
        <v>129</v>
      </c>
      <c r="N36" s="4" t="s">
        <v>130</v>
      </c>
      <c r="O36" s="4"/>
      <c r="P36" s="4"/>
      <c r="Q36" s="4"/>
      <c r="R36" s="4"/>
    </row>
    <row r="37" spans="1:18" x14ac:dyDescent="0.3">
      <c r="C37" s="5">
        <v>45657</v>
      </c>
      <c r="D37" s="4">
        <v>13804997</v>
      </c>
      <c r="E37" s="4">
        <v>13804997</v>
      </c>
      <c r="F37" s="4">
        <v>0</v>
      </c>
      <c r="G37" s="4">
        <v>0</v>
      </c>
      <c r="H37" s="4">
        <v>0</v>
      </c>
      <c r="I37" s="4">
        <v>0</v>
      </c>
      <c r="J37" s="4">
        <v>0</v>
      </c>
      <c r="K37" s="4">
        <v>0</v>
      </c>
      <c r="L37" s="4">
        <v>0</v>
      </c>
      <c r="M37" s="4">
        <v>0</v>
      </c>
      <c r="N37" s="4">
        <v>0</v>
      </c>
      <c r="O37" s="4"/>
      <c r="P37" s="4"/>
      <c r="Q37" s="4"/>
      <c r="R37" s="4"/>
    </row>
    <row r="38" spans="1:18" x14ac:dyDescent="0.3">
      <c r="B38" t="s">
        <v>111</v>
      </c>
      <c r="C38" s="4"/>
      <c r="D38" s="4"/>
      <c r="E38" s="4"/>
      <c r="F38" s="28">
        <f>($D$37-F37)/$D$37</f>
        <v>1</v>
      </c>
      <c r="G38" s="28">
        <f t="shared" ref="G38:N38" si="4">($D$37-G37)/$D$37</f>
        <v>1</v>
      </c>
      <c r="H38" s="28">
        <f t="shared" si="4"/>
        <v>1</v>
      </c>
      <c r="I38" s="28">
        <f t="shared" si="4"/>
        <v>1</v>
      </c>
      <c r="J38" s="28">
        <f t="shared" si="4"/>
        <v>1</v>
      </c>
      <c r="K38" s="28">
        <f t="shared" si="4"/>
        <v>1</v>
      </c>
      <c r="L38" s="28">
        <f t="shared" si="4"/>
        <v>1</v>
      </c>
      <c r="M38" s="28">
        <f t="shared" si="4"/>
        <v>1</v>
      </c>
      <c r="N38" s="28">
        <f t="shared" si="4"/>
        <v>1</v>
      </c>
      <c r="O38" s="29"/>
      <c r="P38" s="30"/>
      <c r="Q38" s="31"/>
      <c r="R38" s="4"/>
    </row>
    <row r="39" spans="1:18" x14ac:dyDescent="0.3">
      <c r="C39" s="8"/>
      <c r="D39" s="8"/>
      <c r="E39" s="8"/>
      <c r="F39" s="8"/>
      <c r="G39" s="8"/>
      <c r="H39" s="8"/>
      <c r="I39" s="8"/>
      <c r="J39" s="8"/>
      <c r="K39" s="8"/>
      <c r="L39" s="8"/>
      <c r="M39" s="8"/>
      <c r="N39" s="9"/>
      <c r="O39" s="9"/>
      <c r="P39" s="10"/>
      <c r="Q39" s="8"/>
      <c r="R39" s="8"/>
    </row>
    <row r="40" spans="1:18" s="19" customFormat="1" x14ac:dyDescent="0.3">
      <c r="A40"/>
      <c r="B40"/>
      <c r="C40" s="14"/>
      <c r="D40" s="15"/>
      <c r="E40" s="16"/>
      <c r="F40" s="16"/>
      <c r="G40" s="16"/>
      <c r="H40" s="17"/>
      <c r="I40" s="17"/>
      <c r="J40" s="17"/>
      <c r="K40" s="17"/>
      <c r="L40" s="18"/>
      <c r="M40" s="18"/>
      <c r="N40" s="12"/>
      <c r="O40" s="12"/>
      <c r="P40" s="14"/>
      <c r="Q40" s="14"/>
      <c r="R40" s="14"/>
    </row>
    <row r="41" spans="1:18" s="19" customFormat="1" x14ac:dyDescent="0.3">
      <c r="C41" s="14"/>
      <c r="D41" s="15"/>
      <c r="E41" s="16"/>
      <c r="F41" s="16"/>
      <c r="G41" s="16"/>
      <c r="H41" s="17"/>
      <c r="I41" s="17"/>
      <c r="J41" s="17"/>
      <c r="K41" s="17"/>
      <c r="L41" s="17"/>
      <c r="M41" s="17"/>
      <c r="N41" s="12"/>
      <c r="O41" s="12"/>
      <c r="P41" s="14"/>
      <c r="Q41" s="14"/>
      <c r="R41" s="14"/>
    </row>
    <row r="42" spans="1:18" x14ac:dyDescent="0.3">
      <c r="C42" s="3" t="s">
        <v>113</v>
      </c>
      <c r="D42" s="3"/>
      <c r="E42" s="3"/>
      <c r="F42" s="3"/>
      <c r="G42" s="3"/>
      <c r="H42" s="3"/>
      <c r="I42" s="3"/>
      <c r="J42" s="3"/>
      <c r="K42" s="3"/>
      <c r="L42" s="3"/>
      <c r="M42" s="3"/>
      <c r="N42" s="3"/>
      <c r="O42" s="3"/>
      <c r="P42" s="3"/>
    </row>
    <row r="44" spans="1:18" x14ac:dyDescent="0.3">
      <c r="C44" s="21" t="s">
        <v>114</v>
      </c>
    </row>
    <row r="45" spans="1:18" ht="14.4" customHeight="1" x14ac:dyDescent="0.3"/>
    <row r="46" spans="1:18" x14ac:dyDescent="0.3">
      <c r="C46" s="20" t="s">
        <v>116</v>
      </c>
    </row>
    <row r="47" spans="1:18" ht="14.4" customHeight="1" x14ac:dyDescent="0.3">
      <c r="D47" s="114" t="s">
        <v>131</v>
      </c>
      <c r="E47" s="114"/>
      <c r="F47" s="114"/>
      <c r="G47" s="114"/>
      <c r="H47" s="114"/>
      <c r="I47" s="114"/>
      <c r="J47" s="114"/>
      <c r="K47" s="114"/>
      <c r="L47" s="114"/>
      <c r="M47" s="114"/>
      <c r="N47" s="114"/>
      <c r="O47" s="22"/>
      <c r="P47" s="22"/>
    </row>
    <row r="48" spans="1:18" x14ac:dyDescent="0.3">
      <c r="C48" s="21" t="s">
        <v>118</v>
      </c>
    </row>
    <row r="49" spans="3:16" x14ac:dyDescent="0.3">
      <c r="D49" s="115"/>
      <c r="E49" s="115"/>
      <c r="F49" s="115"/>
      <c r="G49" s="115"/>
      <c r="H49" s="115"/>
      <c r="I49" s="115"/>
      <c r="J49" s="115"/>
      <c r="K49" s="115"/>
      <c r="L49" s="115"/>
      <c r="M49" s="115"/>
      <c r="N49" s="115"/>
      <c r="O49" s="115"/>
      <c r="P49" s="115"/>
    </row>
    <row r="50" spans="3:16" x14ac:dyDescent="0.3">
      <c r="C50" s="21" t="s">
        <v>119</v>
      </c>
    </row>
    <row r="51" spans="3:16" x14ac:dyDescent="0.3">
      <c r="D51" s="115"/>
      <c r="E51" s="115"/>
      <c r="F51" s="115"/>
      <c r="G51" s="115"/>
      <c r="H51" s="115"/>
      <c r="I51" s="115"/>
      <c r="J51" s="115"/>
      <c r="K51" s="115"/>
      <c r="L51" s="115"/>
      <c r="M51" s="115"/>
      <c r="N51" s="115"/>
      <c r="O51" s="115"/>
      <c r="P51" s="115"/>
    </row>
    <row r="52" spans="3:16" x14ac:dyDescent="0.3">
      <c r="D52" s="22"/>
      <c r="E52" s="22"/>
      <c r="F52" s="22"/>
      <c r="G52" s="22"/>
      <c r="H52" s="22"/>
      <c r="I52" s="22"/>
      <c r="J52" s="22"/>
      <c r="K52" s="22"/>
      <c r="L52" s="22"/>
      <c r="M52" s="22"/>
      <c r="N52" s="22"/>
      <c r="O52" s="22"/>
      <c r="P52" s="22"/>
    </row>
    <row r="53" spans="3:16" x14ac:dyDescent="0.3">
      <c r="C53" s="3" t="s">
        <v>120</v>
      </c>
      <c r="D53" s="23"/>
      <c r="E53" s="23"/>
      <c r="F53" s="3"/>
      <c r="G53" s="3"/>
      <c r="H53" s="3"/>
      <c r="I53" s="3"/>
      <c r="J53" s="3"/>
      <c r="K53" s="3"/>
      <c r="L53" s="3"/>
      <c r="M53" s="3"/>
      <c r="N53" s="3"/>
      <c r="O53" s="3"/>
      <c r="P53" s="3"/>
    </row>
    <row r="56" spans="3:16" x14ac:dyDescent="0.3">
      <c r="C56" s="3" t="s">
        <v>121</v>
      </c>
      <c r="D56" s="3"/>
      <c r="E56" s="3"/>
      <c r="F56" s="3"/>
      <c r="G56" s="3"/>
      <c r="H56" s="3"/>
      <c r="I56" s="3"/>
      <c r="J56" s="3"/>
      <c r="K56" s="3"/>
      <c r="L56" s="3"/>
      <c r="M56" s="3"/>
      <c r="N56" s="3"/>
      <c r="O56" s="3"/>
      <c r="P56" s="3"/>
    </row>
    <row r="183" ht="44.4" customHeight="1" x14ac:dyDescent="0.3"/>
    <row r="185" ht="14.4" customHeight="1" x14ac:dyDescent="0.3"/>
    <row r="197" ht="14.4" customHeight="1" x14ac:dyDescent="0.3"/>
  </sheetData>
  <mergeCells count="7">
    <mergeCell ref="D18:N18"/>
    <mergeCell ref="D47:N47"/>
    <mergeCell ref="D49:P49"/>
    <mergeCell ref="D51:P51"/>
    <mergeCell ref="D20:N20"/>
    <mergeCell ref="D22:P22"/>
    <mergeCell ref="D24:P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816FD-0839-4CA5-B39B-41041AFFD3FD}">
  <dimension ref="A2:BB201"/>
  <sheetViews>
    <sheetView topLeftCell="A25" zoomScaleNormal="100" workbookViewId="0">
      <selection activeCell="H44" sqref="F44:H44"/>
    </sheetView>
  </sheetViews>
  <sheetFormatPr defaultRowHeight="14.4" x14ac:dyDescent="0.3"/>
  <cols>
    <col min="3" max="3" width="36.88671875" customWidth="1"/>
    <col min="4" max="4" width="27.44140625" bestFit="1" customWidth="1"/>
    <col min="5" max="5" width="32.5546875" customWidth="1"/>
    <col min="6" max="6" width="15" bestFit="1" customWidth="1"/>
    <col min="7" max="7" width="27.109375" bestFit="1" customWidth="1"/>
    <col min="8" max="8" width="19.88671875" bestFit="1" customWidth="1"/>
    <col min="9" max="9" width="9.88671875" bestFit="1" customWidth="1"/>
    <col min="10" max="10" width="22.88671875" customWidth="1"/>
    <col min="11" max="11" width="20.109375" bestFit="1" customWidth="1"/>
    <col min="12" max="12" width="28.44140625" bestFit="1" customWidth="1"/>
    <col min="13" max="13" width="15.109375" bestFit="1" customWidth="1"/>
    <col min="14" max="14" width="15.5546875" bestFit="1" customWidth="1"/>
    <col min="15" max="15" width="15.109375" bestFit="1" customWidth="1"/>
    <col min="16" max="16" width="11.109375" bestFit="1" customWidth="1"/>
    <col min="17" max="17" width="7.44140625" bestFit="1" customWidth="1"/>
    <col min="18" max="18" width="9.5546875" bestFit="1" customWidth="1"/>
  </cols>
  <sheetData>
    <row r="2" spans="1:54" x14ac:dyDescent="0.3">
      <c r="B2" s="1" t="s">
        <v>132</v>
      </c>
      <c r="C2" s="1"/>
      <c r="D2" s="1"/>
      <c r="E2" s="1"/>
      <c r="F2" s="1"/>
      <c r="G2" s="1"/>
      <c r="H2" s="1"/>
      <c r="I2" s="1"/>
      <c r="J2" s="1"/>
      <c r="K2" s="1"/>
      <c r="L2" s="1"/>
      <c r="M2" s="1"/>
      <c r="N2" s="1"/>
      <c r="O2" s="1"/>
      <c r="P2" s="1"/>
    </row>
    <row r="3" spans="1:54" x14ac:dyDescent="0.3">
      <c r="B3" s="2"/>
    </row>
    <row r="4" spans="1:54" x14ac:dyDescent="0.3">
      <c r="B4" s="2"/>
    </row>
    <row r="5" spans="1:54" x14ac:dyDescent="0.3">
      <c r="C5" s="3" t="s">
        <v>52</v>
      </c>
      <c r="D5" s="3"/>
      <c r="E5" s="3"/>
      <c r="F5" s="3"/>
      <c r="G5" s="3"/>
      <c r="H5" s="3"/>
      <c r="I5" s="3"/>
      <c r="J5" s="3"/>
      <c r="K5" s="3"/>
      <c r="L5" s="3"/>
      <c r="M5" s="3"/>
      <c r="N5" s="3"/>
      <c r="O5" s="3"/>
      <c r="P5" s="3"/>
    </row>
    <row r="6" spans="1:54" x14ac:dyDescent="0.3">
      <c r="C6" s="32" t="s">
        <v>133</v>
      </c>
      <c r="D6" s="32" t="s">
        <v>54</v>
      </c>
      <c r="E6" s="32" t="s">
        <v>134</v>
      </c>
      <c r="F6" s="32" t="s">
        <v>135</v>
      </c>
      <c r="G6" s="32" t="s">
        <v>136</v>
      </c>
      <c r="H6" s="32" t="s">
        <v>137</v>
      </c>
      <c r="I6" s="32" t="s">
        <v>138</v>
      </c>
      <c r="J6" s="32" t="s">
        <v>139</v>
      </c>
      <c r="K6" s="32" t="s">
        <v>140</v>
      </c>
      <c r="L6" s="32" t="s">
        <v>141</v>
      </c>
      <c r="M6" s="32" t="s">
        <v>142</v>
      </c>
      <c r="N6" s="32" t="s">
        <v>143</v>
      </c>
      <c r="O6" s="32" t="s">
        <v>144</v>
      </c>
      <c r="P6" s="32" t="s">
        <v>145</v>
      </c>
      <c r="Q6" s="32" t="s">
        <v>146</v>
      </c>
      <c r="R6" s="32" t="s">
        <v>147</v>
      </c>
      <c r="S6" s="32" t="s">
        <v>148</v>
      </c>
      <c r="T6" s="32" t="s">
        <v>149</v>
      </c>
      <c r="U6" s="32" t="s">
        <v>150</v>
      </c>
      <c r="V6" s="32" t="s">
        <v>151</v>
      </c>
      <c r="W6" s="32" t="s">
        <v>152</v>
      </c>
      <c r="X6" s="32" t="s">
        <v>153</v>
      </c>
      <c r="Y6" s="32" t="s">
        <v>154</v>
      </c>
      <c r="Z6" s="32" t="s">
        <v>155</v>
      </c>
      <c r="AA6" s="32" t="s">
        <v>156</v>
      </c>
      <c r="AB6" s="32" t="s">
        <v>157</v>
      </c>
      <c r="AC6" s="32" t="s">
        <v>158</v>
      </c>
      <c r="AD6" s="32" t="s">
        <v>159</v>
      </c>
      <c r="AE6" s="32" t="s">
        <v>160</v>
      </c>
      <c r="AF6" s="32" t="s">
        <v>161</v>
      </c>
      <c r="AG6" s="32" t="s">
        <v>162</v>
      </c>
      <c r="AH6" s="32" t="s">
        <v>163</v>
      </c>
      <c r="AI6" s="32" t="s">
        <v>164</v>
      </c>
      <c r="AJ6" s="32" t="s">
        <v>165</v>
      </c>
      <c r="AK6" s="32" t="s">
        <v>166</v>
      </c>
      <c r="AL6" s="32" t="s">
        <v>167</v>
      </c>
      <c r="AM6" s="32" t="s">
        <v>168</v>
      </c>
      <c r="AN6" s="32" t="s">
        <v>169</v>
      </c>
      <c r="AO6" s="32" t="s">
        <v>170</v>
      </c>
      <c r="AP6" s="32" t="s">
        <v>171</v>
      </c>
      <c r="AQ6" s="32" t="s">
        <v>172</v>
      </c>
      <c r="AR6" s="32" t="s">
        <v>173</v>
      </c>
      <c r="AS6" s="32" t="s">
        <v>174</v>
      </c>
      <c r="AT6" s="32" t="s">
        <v>175</v>
      </c>
      <c r="AU6" s="32" t="s">
        <v>176</v>
      </c>
      <c r="AV6" s="32" t="s">
        <v>177</v>
      </c>
      <c r="AW6" s="32" t="s">
        <v>178</v>
      </c>
      <c r="AX6" s="32" t="s">
        <v>179</v>
      </c>
      <c r="AY6" s="32" t="s">
        <v>180</v>
      </c>
      <c r="AZ6" s="32" t="s">
        <v>181</v>
      </c>
      <c r="BA6" s="32" t="s">
        <v>182</v>
      </c>
      <c r="BB6" s="19"/>
    </row>
    <row r="7" spans="1:54" x14ac:dyDescent="0.3">
      <c r="C7" s="4">
        <v>9073041</v>
      </c>
      <c r="D7" s="32" t="s">
        <v>183</v>
      </c>
      <c r="E7" s="32" t="s">
        <v>184</v>
      </c>
      <c r="F7" s="4">
        <v>9073041</v>
      </c>
      <c r="G7" s="4">
        <v>0</v>
      </c>
      <c r="H7" s="4">
        <v>0</v>
      </c>
      <c r="I7" s="4">
        <v>0</v>
      </c>
      <c r="J7" s="4">
        <v>9073041</v>
      </c>
      <c r="K7" s="4">
        <v>0</v>
      </c>
      <c r="L7" s="4">
        <v>0</v>
      </c>
      <c r="M7" s="4">
        <v>0</v>
      </c>
      <c r="N7" s="4">
        <v>9073041</v>
      </c>
      <c r="O7" s="4">
        <v>0</v>
      </c>
      <c r="P7" s="4">
        <v>0</v>
      </c>
      <c r="Q7" s="4">
        <v>0</v>
      </c>
      <c r="R7" s="4">
        <v>9073041</v>
      </c>
      <c r="S7" s="4">
        <v>0</v>
      </c>
      <c r="T7" s="4">
        <v>0</v>
      </c>
      <c r="U7" s="4">
        <v>0</v>
      </c>
      <c r="V7" s="4">
        <v>5047301</v>
      </c>
      <c r="W7" s="34">
        <v>1128789</v>
      </c>
      <c r="X7" s="34">
        <v>2896951</v>
      </c>
      <c r="Y7" s="4">
        <v>0</v>
      </c>
      <c r="Z7" s="4">
        <v>9073041</v>
      </c>
      <c r="AA7" s="4">
        <v>0</v>
      </c>
      <c r="AB7" s="4">
        <v>0</v>
      </c>
      <c r="AC7" s="4">
        <v>0</v>
      </c>
      <c r="AD7" s="4">
        <v>7595396</v>
      </c>
      <c r="AE7" s="34">
        <v>1156319</v>
      </c>
      <c r="AF7" s="34">
        <v>320307</v>
      </c>
      <c r="AG7" s="34">
        <v>1019</v>
      </c>
      <c r="AH7" s="4">
        <v>9073041</v>
      </c>
      <c r="AI7" s="4">
        <v>0</v>
      </c>
      <c r="AJ7" s="4">
        <v>0</v>
      </c>
      <c r="AK7" s="4">
        <v>0</v>
      </c>
      <c r="AL7" s="4">
        <v>9073041</v>
      </c>
      <c r="AM7" s="4">
        <v>0</v>
      </c>
      <c r="AN7" s="4">
        <v>0</v>
      </c>
      <c r="AO7" s="4">
        <v>0</v>
      </c>
      <c r="AP7" s="4">
        <v>9073041</v>
      </c>
      <c r="AQ7" s="4">
        <v>0</v>
      </c>
      <c r="AR7" s="4">
        <v>0</v>
      </c>
      <c r="AS7" s="4">
        <v>0</v>
      </c>
      <c r="AT7" s="4">
        <v>9073041</v>
      </c>
      <c r="AU7" s="4">
        <v>0</v>
      </c>
      <c r="AV7" s="4">
        <v>0</v>
      </c>
      <c r="AW7" s="4">
        <v>0</v>
      </c>
      <c r="AX7" s="4">
        <v>9073041</v>
      </c>
      <c r="AY7" s="4">
        <v>0</v>
      </c>
      <c r="AZ7" s="4">
        <v>0</v>
      </c>
      <c r="BA7" s="4">
        <v>0</v>
      </c>
      <c r="BB7" s="19"/>
    </row>
    <row r="8" spans="1:54" x14ac:dyDescent="0.3">
      <c r="B8" t="s">
        <v>111</v>
      </c>
      <c r="C8" s="4"/>
      <c r="D8" s="4"/>
      <c r="E8" s="4"/>
      <c r="F8" s="28">
        <f>($C$7-(G7+H7+I7))/$C$7</f>
        <v>1</v>
      </c>
      <c r="G8" s="28"/>
      <c r="H8" s="28"/>
      <c r="I8" s="28"/>
      <c r="J8" s="28">
        <f>($C$7-(K7+L7+M7))/$C$7</f>
        <v>1</v>
      </c>
      <c r="K8" s="28"/>
      <c r="L8" s="28"/>
      <c r="M8" s="28"/>
      <c r="N8" s="28">
        <f>($C$7-(O7+P7+Q7))/$C$7</f>
        <v>1</v>
      </c>
      <c r="O8" s="28"/>
      <c r="P8" s="28"/>
      <c r="Q8" s="28"/>
      <c r="R8" s="28">
        <f>($C$7-(S7+T7+U7))/$C$7</f>
        <v>1</v>
      </c>
      <c r="S8" s="28"/>
      <c r="T8" s="28"/>
      <c r="U8" s="28"/>
      <c r="V8" s="28">
        <f>($C$7-(W7+X7+Y7))/$C$7</f>
        <v>0.55629650521804097</v>
      </c>
      <c r="W8" s="28"/>
      <c r="X8" s="28"/>
      <c r="Y8" s="28"/>
      <c r="Z8" s="28">
        <f>($C$7-(AA7+AB7+AC7))/$C$7</f>
        <v>1</v>
      </c>
      <c r="AA8" s="28"/>
      <c r="AB8" s="28"/>
      <c r="AC8" s="28"/>
      <c r="AD8" s="28">
        <f>($C$7-(AE7+AF7+AG7))/$C$7</f>
        <v>0.83713894823135926</v>
      </c>
      <c r="AE8" s="28"/>
      <c r="AF8" s="28"/>
      <c r="AG8" s="28"/>
      <c r="AH8" s="28">
        <f>($C$7-(AI7+AJ7+AK7))/$C$7</f>
        <v>1</v>
      </c>
      <c r="AI8" s="28"/>
      <c r="AJ8" s="28"/>
      <c r="AK8" s="28"/>
      <c r="AL8" s="28">
        <f>($C$7-(AM7+AN7+AO7))/$C$7</f>
        <v>1</v>
      </c>
      <c r="AM8" s="28"/>
      <c r="AN8" s="28"/>
      <c r="AO8" s="28"/>
      <c r="AP8" s="28">
        <f>($C$7-(AQ7+AR7+AS7))/$C$7</f>
        <v>1</v>
      </c>
      <c r="AQ8" s="28"/>
      <c r="AR8" s="28"/>
      <c r="AS8" s="28"/>
      <c r="AT8" s="28">
        <f>($C$7-(AU7+AV7+AW7))/$C$7</f>
        <v>1</v>
      </c>
      <c r="AU8" s="28"/>
      <c r="AV8" s="28"/>
      <c r="AW8" s="28"/>
      <c r="AX8" s="28">
        <f>($C$7-(AY7+AZ7+BA7))/$C$7</f>
        <v>1</v>
      </c>
      <c r="AY8" s="28"/>
      <c r="AZ8" s="28"/>
      <c r="BA8" s="28"/>
    </row>
    <row r="9" spans="1:54" s="19" customFormat="1" x14ac:dyDescent="0.3">
      <c r="A9"/>
      <c r="B9"/>
      <c r="C9" s="4" t="s">
        <v>133</v>
      </c>
      <c r="D9" s="4" t="s">
        <v>54</v>
      </c>
      <c r="E9" s="32" t="s">
        <v>134</v>
      </c>
      <c r="F9" s="4" t="s">
        <v>135</v>
      </c>
      <c r="G9" s="4" t="s">
        <v>136</v>
      </c>
      <c r="H9" s="4" t="s">
        <v>137</v>
      </c>
      <c r="I9" s="4" t="s">
        <v>138</v>
      </c>
      <c r="J9" s="4" t="s">
        <v>139</v>
      </c>
      <c r="K9" s="4" t="s">
        <v>140</v>
      </c>
      <c r="L9" s="4" t="s">
        <v>141</v>
      </c>
      <c r="M9" s="4" t="s">
        <v>142</v>
      </c>
      <c r="N9" s="4" t="s">
        <v>143</v>
      </c>
      <c r="O9" s="4" t="s">
        <v>144</v>
      </c>
      <c r="P9" s="4" t="s">
        <v>145</v>
      </c>
      <c r="Q9" s="4" t="s">
        <v>146</v>
      </c>
      <c r="R9" s="4" t="s">
        <v>147</v>
      </c>
      <c r="S9" s="4" t="s">
        <v>148</v>
      </c>
      <c r="T9" s="4" t="s">
        <v>149</v>
      </c>
      <c r="U9" s="4" t="s">
        <v>150</v>
      </c>
      <c r="V9" s="4" t="s">
        <v>151</v>
      </c>
      <c r="W9" s="4" t="s">
        <v>152</v>
      </c>
      <c r="X9" s="4" t="s">
        <v>153</v>
      </c>
      <c r="Y9" s="4" t="s">
        <v>154</v>
      </c>
      <c r="Z9" s="4" t="s">
        <v>155</v>
      </c>
      <c r="AA9" s="4" t="s">
        <v>156</v>
      </c>
      <c r="AB9" s="4" t="s">
        <v>157</v>
      </c>
      <c r="AC9" s="4" t="s">
        <v>158</v>
      </c>
      <c r="AD9" s="4" t="s">
        <v>159</v>
      </c>
      <c r="AE9" s="4" t="s">
        <v>160</v>
      </c>
      <c r="AF9" s="4" t="s">
        <v>161</v>
      </c>
      <c r="AG9" s="4" t="s">
        <v>162</v>
      </c>
      <c r="AH9" s="4" t="s">
        <v>163</v>
      </c>
      <c r="AI9" s="4" t="s">
        <v>164</v>
      </c>
      <c r="AJ9" s="4" t="s">
        <v>165</v>
      </c>
      <c r="AK9" s="4" t="s">
        <v>166</v>
      </c>
      <c r="AL9" s="4" t="s">
        <v>167</v>
      </c>
      <c r="AM9" s="4" t="s">
        <v>168</v>
      </c>
      <c r="AN9" s="4" t="s">
        <v>169</v>
      </c>
      <c r="AO9" s="4" t="s">
        <v>170</v>
      </c>
      <c r="AP9" s="4" t="s">
        <v>171</v>
      </c>
      <c r="AQ9" s="4" t="s">
        <v>172</v>
      </c>
      <c r="AR9" s="4" t="s">
        <v>173</v>
      </c>
      <c r="AS9" s="4" t="s">
        <v>174</v>
      </c>
      <c r="AT9" s="4" t="s">
        <v>175</v>
      </c>
      <c r="AU9" s="4" t="s">
        <v>176</v>
      </c>
      <c r="AV9" s="4" t="s">
        <v>177</v>
      </c>
      <c r="AW9" s="4" t="s">
        <v>178</v>
      </c>
      <c r="AX9" s="4" t="s">
        <v>179</v>
      </c>
      <c r="AY9" s="4" t="s">
        <v>180</v>
      </c>
      <c r="AZ9" s="4" t="s">
        <v>181</v>
      </c>
      <c r="BA9" s="4" t="s">
        <v>182</v>
      </c>
    </row>
    <row r="10" spans="1:54" s="19" customFormat="1" x14ac:dyDescent="0.3">
      <c r="A10"/>
      <c r="B10"/>
      <c r="C10" s="4">
        <v>8944</v>
      </c>
      <c r="D10" s="5">
        <v>45657</v>
      </c>
      <c r="E10" s="32" t="s">
        <v>185</v>
      </c>
      <c r="F10" s="4">
        <v>8944</v>
      </c>
      <c r="G10" s="4">
        <v>0</v>
      </c>
      <c r="H10" s="4">
        <v>0</v>
      </c>
      <c r="I10" s="4">
        <v>0</v>
      </c>
      <c r="J10" s="4">
        <v>8944</v>
      </c>
      <c r="K10" s="4">
        <v>0</v>
      </c>
      <c r="L10" s="4">
        <v>0</v>
      </c>
      <c r="M10" s="4">
        <v>0</v>
      </c>
      <c r="N10" s="4">
        <v>8944</v>
      </c>
      <c r="O10" s="4">
        <v>0</v>
      </c>
      <c r="P10" s="4">
        <v>0</v>
      </c>
      <c r="Q10" s="4">
        <v>0</v>
      </c>
      <c r="R10" s="4">
        <v>8944</v>
      </c>
      <c r="S10" s="4">
        <v>0</v>
      </c>
      <c r="T10" s="4">
        <v>0</v>
      </c>
      <c r="U10" s="4">
        <v>0</v>
      </c>
      <c r="V10" s="4">
        <v>3203</v>
      </c>
      <c r="W10" s="7">
        <v>5741</v>
      </c>
      <c r="X10" s="4">
        <v>0</v>
      </c>
      <c r="Y10" s="4">
        <v>0</v>
      </c>
      <c r="Z10" s="4">
        <v>8944</v>
      </c>
      <c r="AA10" s="4">
        <v>0</v>
      </c>
      <c r="AB10" s="4">
        <v>0</v>
      </c>
      <c r="AC10" s="4">
        <v>0</v>
      </c>
      <c r="AD10" s="4">
        <v>3163</v>
      </c>
      <c r="AE10" s="7">
        <v>5781</v>
      </c>
      <c r="AF10" s="4">
        <v>0</v>
      </c>
      <c r="AG10" s="4">
        <v>0</v>
      </c>
      <c r="AH10" s="4">
        <v>8944</v>
      </c>
      <c r="AI10" s="4">
        <v>0</v>
      </c>
      <c r="AJ10" s="4">
        <v>0</v>
      </c>
      <c r="AK10" s="4">
        <v>0</v>
      </c>
      <c r="AL10" s="4">
        <v>8944</v>
      </c>
      <c r="AM10" s="4">
        <v>0</v>
      </c>
      <c r="AN10" s="4">
        <v>0</v>
      </c>
      <c r="AO10" s="4">
        <v>0</v>
      </c>
      <c r="AP10" s="4">
        <v>8944</v>
      </c>
      <c r="AQ10" s="4">
        <v>0</v>
      </c>
      <c r="AR10" s="4">
        <v>0</v>
      </c>
      <c r="AS10" s="4">
        <v>0</v>
      </c>
      <c r="AT10" s="4">
        <v>8944</v>
      </c>
      <c r="AU10" s="4">
        <v>0</v>
      </c>
      <c r="AV10" s="4">
        <v>0</v>
      </c>
      <c r="AW10" s="4">
        <v>0</v>
      </c>
      <c r="AX10" s="4">
        <v>8944</v>
      </c>
      <c r="AY10" s="4">
        <v>0</v>
      </c>
      <c r="AZ10" s="4">
        <v>0</v>
      </c>
      <c r="BA10" s="4">
        <v>0</v>
      </c>
    </row>
    <row r="11" spans="1:54" x14ac:dyDescent="0.3">
      <c r="B11" t="s">
        <v>111</v>
      </c>
      <c r="C11" s="4"/>
      <c r="D11" s="4"/>
      <c r="E11" s="4"/>
      <c r="F11" s="28">
        <f>($C$7-(G10+H10+I10))/$C$7</f>
        <v>1</v>
      </c>
      <c r="G11" s="28"/>
      <c r="H11" s="28"/>
      <c r="I11" s="28"/>
      <c r="J11" s="28">
        <f>($C$7-(K10+L10+M10))/$C$7</f>
        <v>1</v>
      </c>
      <c r="K11" s="28"/>
      <c r="L11" s="28"/>
      <c r="M11" s="28"/>
      <c r="N11" s="28">
        <f>($C$7-(O10+P10+Q10))/$C$7</f>
        <v>1</v>
      </c>
      <c r="O11" s="28"/>
      <c r="P11" s="28"/>
      <c r="Q11" s="28"/>
      <c r="R11" s="28">
        <f>($C$7-(S10+T10+U10))/$C$7</f>
        <v>1</v>
      </c>
      <c r="S11" s="28"/>
      <c r="T11" s="28"/>
      <c r="U11" s="28"/>
      <c r="V11" s="28">
        <f>($C$7-(W10+X10+Y10))/$C$7</f>
        <v>0.99936724632898721</v>
      </c>
      <c r="W11" s="28"/>
      <c r="X11" s="28"/>
      <c r="Y11" s="28"/>
      <c r="Z11" s="28">
        <f>($C$7-(AA10+AB10+AC10))/$C$7</f>
        <v>1</v>
      </c>
      <c r="AA11" s="28"/>
      <c r="AB11" s="28"/>
      <c r="AC11" s="28"/>
      <c r="AD11" s="28">
        <f>($C$7-(AE10+AF10+AG10))/$C$7</f>
        <v>0.99936283766379985</v>
      </c>
      <c r="AE11" s="28"/>
      <c r="AF11" s="28"/>
      <c r="AG11" s="28"/>
      <c r="AH11" s="28">
        <f>($C$7-(AI10+AJ10+AK10))/$C$7</f>
        <v>1</v>
      </c>
      <c r="AI11" s="28"/>
      <c r="AJ11" s="28"/>
      <c r="AK11" s="28"/>
      <c r="AL11" s="28">
        <f>($C$7-(AM10+AN10+AO10))/$C$7</f>
        <v>1</v>
      </c>
      <c r="AM11" s="28"/>
      <c r="AN11" s="28"/>
      <c r="AO11" s="28"/>
      <c r="AP11" s="28">
        <f>($C$7-(AQ10+AR10+AS10))/$C$7</f>
        <v>1</v>
      </c>
      <c r="AQ11" s="28"/>
      <c r="AR11" s="28"/>
      <c r="AS11" s="28"/>
      <c r="AT11" s="28">
        <f>($C$7-(AU10+AV10+AW10))/$C$7</f>
        <v>1</v>
      </c>
      <c r="AU11" s="28"/>
      <c r="AV11" s="28"/>
      <c r="AW11" s="28"/>
      <c r="AX11" s="28">
        <f>($C$7-(AY10+AZ10+BA10))/$C$7</f>
        <v>1</v>
      </c>
      <c r="AY11" s="28"/>
      <c r="AZ11" s="28"/>
      <c r="BA11" s="28"/>
    </row>
    <row r="12" spans="1:54" x14ac:dyDescent="0.3">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row>
    <row r="13" spans="1:54" s="19" customFormat="1" x14ac:dyDescent="0.3">
      <c r="A13"/>
      <c r="B13"/>
      <c r="C13" s="59" t="s">
        <v>113</v>
      </c>
      <c r="D13" s="59"/>
      <c r="E13" s="59"/>
      <c r="F13" s="59"/>
      <c r="G13" s="59"/>
      <c r="H13" s="59"/>
      <c r="I13" s="59"/>
      <c r="J13" s="59"/>
      <c r="K13" s="59"/>
      <c r="L13" s="59"/>
      <c r="M13" s="59"/>
      <c r="N13" s="59"/>
      <c r="O13" s="59"/>
      <c r="P13" s="59"/>
    </row>
    <row r="15" spans="1:54" x14ac:dyDescent="0.3">
      <c r="C15" s="21" t="s">
        <v>114</v>
      </c>
    </row>
    <row r="16" spans="1:54" ht="14.4" customHeight="1" x14ac:dyDescent="0.3">
      <c r="D16" s="114" t="s">
        <v>186</v>
      </c>
      <c r="E16" s="114"/>
      <c r="F16" s="114"/>
      <c r="G16" s="114"/>
      <c r="H16" s="114"/>
      <c r="I16" s="114"/>
      <c r="J16" s="114"/>
      <c r="K16" s="114"/>
      <c r="L16" s="114"/>
      <c r="M16" s="114"/>
      <c r="N16" s="114"/>
      <c r="W16" s="63"/>
      <c r="X16" s="63"/>
    </row>
    <row r="17" spans="3:16" x14ac:dyDescent="0.3">
      <c r="C17" s="20" t="s">
        <v>116</v>
      </c>
    </row>
    <row r="18" spans="3:16" ht="14.4" customHeight="1" x14ac:dyDescent="0.3">
      <c r="O18" s="22"/>
      <c r="P18" s="22"/>
    </row>
    <row r="19" spans="3:16" x14ac:dyDescent="0.3">
      <c r="C19" s="21" t="s">
        <v>118</v>
      </c>
    </row>
    <row r="20" spans="3:16" x14ac:dyDescent="0.3">
      <c r="D20" s="115"/>
      <c r="E20" s="115"/>
      <c r="F20" s="115"/>
      <c r="G20" s="115"/>
      <c r="H20" s="115"/>
      <c r="I20" s="115"/>
      <c r="J20" s="115"/>
      <c r="K20" s="115"/>
      <c r="L20" s="115"/>
      <c r="M20" s="115"/>
      <c r="N20" s="115"/>
      <c r="O20" s="115"/>
      <c r="P20" s="115"/>
    </row>
    <row r="21" spans="3:16" x14ac:dyDescent="0.3">
      <c r="C21" s="21" t="s">
        <v>119</v>
      </c>
    </row>
    <row r="22" spans="3:16" x14ac:dyDescent="0.3">
      <c r="D22" s="115"/>
      <c r="E22" s="115"/>
      <c r="F22" s="115"/>
      <c r="G22" s="115"/>
      <c r="H22" s="115"/>
      <c r="I22" s="115"/>
      <c r="J22" s="115"/>
      <c r="K22" s="115"/>
      <c r="L22" s="115"/>
      <c r="M22" s="115"/>
      <c r="N22" s="115"/>
      <c r="O22" s="115"/>
      <c r="P22" s="115"/>
    </row>
    <row r="23" spans="3:16" x14ac:dyDescent="0.3">
      <c r="D23" s="22"/>
      <c r="E23" s="22"/>
      <c r="F23" s="22"/>
      <c r="G23" s="22"/>
      <c r="H23" s="22"/>
      <c r="I23" s="22"/>
      <c r="J23" s="22"/>
      <c r="K23" s="22"/>
      <c r="L23" s="22"/>
      <c r="M23" s="22"/>
      <c r="N23" s="22"/>
      <c r="O23" s="22"/>
      <c r="P23" s="22"/>
    </row>
    <row r="24" spans="3:16" x14ac:dyDescent="0.3">
      <c r="C24" s="3" t="s">
        <v>120</v>
      </c>
      <c r="D24" s="23"/>
      <c r="E24" s="23"/>
      <c r="F24" s="3"/>
      <c r="G24" s="3"/>
      <c r="H24" s="3"/>
      <c r="I24" s="3"/>
      <c r="J24" s="3"/>
      <c r="K24" s="3"/>
      <c r="L24" s="3"/>
      <c r="M24" s="3"/>
      <c r="N24" s="3"/>
      <c r="O24" s="3"/>
      <c r="P24" s="3"/>
    </row>
    <row r="25" spans="3:16" x14ac:dyDescent="0.3">
      <c r="C25" t="s">
        <v>184</v>
      </c>
      <c r="G25" s="32" t="s">
        <v>185</v>
      </c>
    </row>
    <row r="26" spans="3:16" x14ac:dyDescent="0.3">
      <c r="C26" s="32" t="s">
        <v>152</v>
      </c>
      <c r="D26" s="34">
        <v>1128789</v>
      </c>
      <c r="G26" s="4" t="s">
        <v>152</v>
      </c>
      <c r="H26" s="7">
        <v>5741</v>
      </c>
    </row>
    <row r="27" spans="3:16" x14ac:dyDescent="0.3">
      <c r="C27" s="32" t="s">
        <v>153</v>
      </c>
      <c r="D27" s="34">
        <v>2896951</v>
      </c>
      <c r="G27" s="4" t="s">
        <v>160</v>
      </c>
      <c r="H27" s="7">
        <v>5781</v>
      </c>
    </row>
    <row r="28" spans="3:16" x14ac:dyDescent="0.3">
      <c r="C28" s="32" t="s">
        <v>160</v>
      </c>
      <c r="D28" s="34">
        <v>1156319</v>
      </c>
    </row>
    <row r="29" spans="3:16" x14ac:dyDescent="0.3">
      <c r="C29" s="32" t="s">
        <v>161</v>
      </c>
      <c r="D29" s="34">
        <v>320307</v>
      </c>
    </row>
    <row r="30" spans="3:16" x14ac:dyDescent="0.3">
      <c r="C30" s="32" t="s">
        <v>162</v>
      </c>
      <c r="D30" s="34">
        <v>1019</v>
      </c>
    </row>
    <row r="32" spans="3:16" x14ac:dyDescent="0.3">
      <c r="C32" s="3" t="s">
        <v>187</v>
      </c>
      <c r="D32" s="3"/>
      <c r="E32" s="3"/>
      <c r="F32" s="3"/>
      <c r="G32" s="3"/>
      <c r="H32" s="3"/>
      <c r="I32" s="3"/>
      <c r="J32" s="3"/>
      <c r="K32" s="3"/>
      <c r="L32" s="3"/>
      <c r="M32" s="3"/>
      <c r="N32" s="3"/>
      <c r="O32" s="3"/>
      <c r="P32" s="3"/>
    </row>
    <row r="34" spans="3:16" x14ac:dyDescent="0.3">
      <c r="C34" s="26" t="s">
        <v>188</v>
      </c>
    </row>
    <row r="35" spans="3:16" x14ac:dyDescent="0.3">
      <c r="D35" s="116" t="s">
        <v>189</v>
      </c>
      <c r="E35" s="116"/>
      <c r="F35" s="116"/>
      <c r="G35" s="116"/>
      <c r="H35" s="116"/>
      <c r="I35" s="116"/>
      <c r="J35" s="116"/>
      <c r="K35" s="116"/>
      <c r="L35" s="116"/>
      <c r="M35" s="116"/>
      <c r="N35" s="116"/>
    </row>
    <row r="37" spans="3:16" x14ac:dyDescent="0.3">
      <c r="C37" s="4" t="s">
        <v>54</v>
      </c>
      <c r="D37" s="4" t="s">
        <v>134</v>
      </c>
      <c r="E37" s="4" t="s">
        <v>133</v>
      </c>
      <c r="F37" s="4" t="s">
        <v>190</v>
      </c>
      <c r="G37" s="4" t="s">
        <v>191</v>
      </c>
      <c r="H37" s="4" t="s">
        <v>192</v>
      </c>
      <c r="I37" s="4" t="s">
        <v>193</v>
      </c>
      <c r="J37" s="4" t="s">
        <v>194</v>
      </c>
    </row>
    <row r="38" spans="3:16" x14ac:dyDescent="0.3">
      <c r="C38" s="5">
        <v>45657</v>
      </c>
      <c r="D38" s="4" t="s">
        <v>184</v>
      </c>
      <c r="E38" s="4">
        <v>29110780</v>
      </c>
      <c r="F38" s="6">
        <v>8978681</v>
      </c>
      <c r="G38" s="4">
        <v>0</v>
      </c>
      <c r="H38" s="6">
        <v>20132099</v>
      </c>
      <c r="I38" s="4">
        <v>0</v>
      </c>
      <c r="J38" s="4">
        <v>0</v>
      </c>
    </row>
    <row r="40" spans="3:16" x14ac:dyDescent="0.3">
      <c r="C40" s="26" t="s">
        <v>195</v>
      </c>
    </row>
    <row r="41" spans="3:16" x14ac:dyDescent="0.3">
      <c r="D41" s="116" t="s">
        <v>196</v>
      </c>
      <c r="E41" s="116"/>
      <c r="F41" s="116"/>
      <c r="G41" s="116"/>
      <c r="H41" s="116"/>
      <c r="I41" s="116"/>
      <c r="J41" s="116"/>
      <c r="K41" s="116"/>
      <c r="L41" s="116"/>
      <c r="M41" s="116"/>
      <c r="N41" s="116"/>
    </row>
    <row r="43" spans="3:16" x14ac:dyDescent="0.3">
      <c r="C43" s="4" t="s">
        <v>54</v>
      </c>
      <c r="D43" s="4" t="s">
        <v>134</v>
      </c>
      <c r="E43" s="4" t="s">
        <v>133</v>
      </c>
      <c r="F43" s="4" t="s">
        <v>197</v>
      </c>
      <c r="G43" s="4" t="s">
        <v>198</v>
      </c>
      <c r="H43" s="4" t="s">
        <v>199</v>
      </c>
      <c r="I43" s="4" t="s">
        <v>200</v>
      </c>
      <c r="J43" s="4" t="s">
        <v>201</v>
      </c>
    </row>
    <row r="44" spans="3:16" x14ac:dyDescent="0.3">
      <c r="C44" s="5">
        <v>45657</v>
      </c>
      <c r="D44" s="4" t="s">
        <v>184</v>
      </c>
      <c r="E44" s="4">
        <v>29110780</v>
      </c>
      <c r="F44" s="6">
        <v>6299154</v>
      </c>
      <c r="G44" s="4">
        <v>0</v>
      </c>
      <c r="H44" s="6">
        <v>22811626</v>
      </c>
      <c r="I44" s="4">
        <v>0</v>
      </c>
      <c r="J44" s="4">
        <v>0</v>
      </c>
    </row>
    <row r="46" spans="3:16" x14ac:dyDescent="0.3">
      <c r="C46" s="3" t="s">
        <v>202</v>
      </c>
      <c r="D46" s="3"/>
      <c r="E46" s="3"/>
      <c r="F46" s="3"/>
      <c r="G46" s="3"/>
      <c r="H46" s="3"/>
      <c r="I46" s="3"/>
      <c r="J46" s="3"/>
      <c r="K46" s="3"/>
      <c r="L46" s="3"/>
      <c r="M46" s="3"/>
      <c r="N46" s="3"/>
      <c r="O46" s="3"/>
      <c r="P46" s="3"/>
    </row>
    <row r="48" spans="3:16" x14ac:dyDescent="0.3">
      <c r="C48" s="26" t="s">
        <v>188</v>
      </c>
    </row>
    <row r="49" spans="2:54" x14ac:dyDescent="0.3">
      <c r="D49" s="116" t="s">
        <v>203</v>
      </c>
      <c r="E49" s="116"/>
      <c r="F49" s="116"/>
      <c r="G49" s="116"/>
      <c r="H49" s="116"/>
      <c r="I49" s="116"/>
      <c r="J49" s="116"/>
      <c r="K49" s="116"/>
      <c r="L49" s="116"/>
      <c r="M49" s="116"/>
      <c r="N49" s="116"/>
    </row>
    <row r="51" spans="2:54" x14ac:dyDescent="0.3">
      <c r="C51" s="4" t="s">
        <v>54</v>
      </c>
      <c r="D51" s="4" t="s">
        <v>134</v>
      </c>
      <c r="E51" s="4" t="s">
        <v>133</v>
      </c>
      <c r="F51" s="4" t="s">
        <v>190</v>
      </c>
      <c r="G51" s="4" t="s">
        <v>191</v>
      </c>
      <c r="H51" s="4" t="s">
        <v>192</v>
      </c>
      <c r="I51" s="4" t="s">
        <v>193</v>
      </c>
      <c r="J51" s="4" t="s">
        <v>194</v>
      </c>
    </row>
    <row r="52" spans="2:54" x14ac:dyDescent="0.3">
      <c r="C52" s="5">
        <v>45657</v>
      </c>
      <c r="D52" s="4" t="s">
        <v>185</v>
      </c>
      <c r="E52" s="4">
        <v>8948</v>
      </c>
      <c r="F52" s="6">
        <v>8944</v>
      </c>
      <c r="G52" s="4">
        <v>0</v>
      </c>
      <c r="H52" s="6">
        <v>4</v>
      </c>
      <c r="I52" s="4">
        <v>0</v>
      </c>
      <c r="J52" s="4">
        <v>0</v>
      </c>
    </row>
    <row r="54" spans="2:54" x14ac:dyDescent="0.3">
      <c r="C54" s="26" t="s">
        <v>195</v>
      </c>
    </row>
    <row r="55" spans="2:54" x14ac:dyDescent="0.3">
      <c r="D55" s="116" t="s">
        <v>204</v>
      </c>
      <c r="E55" s="116"/>
      <c r="F55" s="116"/>
      <c r="G55" s="116"/>
      <c r="H55" s="116"/>
      <c r="I55" s="116"/>
      <c r="J55" s="116"/>
      <c r="K55" s="116"/>
      <c r="L55" s="116"/>
      <c r="M55" s="116"/>
      <c r="N55" s="116"/>
    </row>
    <row r="57" spans="2:54" x14ac:dyDescent="0.3">
      <c r="C57" s="4" t="s">
        <v>54</v>
      </c>
      <c r="D57" s="4" t="s">
        <v>134</v>
      </c>
      <c r="E57" s="4" t="s">
        <v>133</v>
      </c>
      <c r="F57" s="4" t="s">
        <v>197</v>
      </c>
      <c r="G57" s="4" t="s">
        <v>198</v>
      </c>
      <c r="H57" s="4" t="s">
        <v>199</v>
      </c>
      <c r="I57" s="4" t="s">
        <v>200</v>
      </c>
      <c r="J57" s="4" t="s">
        <v>201</v>
      </c>
    </row>
    <row r="58" spans="2:54" x14ac:dyDescent="0.3">
      <c r="C58" s="5">
        <v>45657</v>
      </c>
      <c r="D58" s="4" t="s">
        <v>185</v>
      </c>
      <c r="E58" s="4">
        <v>8948</v>
      </c>
      <c r="F58" s="6">
        <v>8944</v>
      </c>
      <c r="G58" s="4">
        <v>0</v>
      </c>
      <c r="H58" s="6">
        <v>4</v>
      </c>
      <c r="I58" s="4">
        <v>0</v>
      </c>
      <c r="J58" s="4">
        <v>0</v>
      </c>
    </row>
    <row r="60" spans="2:54" x14ac:dyDescent="0.3">
      <c r="B60" s="1" t="s">
        <v>205</v>
      </c>
      <c r="C60" s="1"/>
      <c r="D60" s="1"/>
      <c r="E60" s="1"/>
      <c r="F60" s="1"/>
      <c r="G60" s="1"/>
      <c r="H60" s="1"/>
      <c r="I60" s="1"/>
      <c r="J60" s="1"/>
      <c r="K60" s="1"/>
      <c r="L60" s="1"/>
      <c r="M60" s="1"/>
      <c r="N60" s="1"/>
      <c r="O60" s="1"/>
      <c r="P60" s="1"/>
    </row>
    <row r="61" spans="2:54" x14ac:dyDescent="0.3">
      <c r="B61" s="2"/>
    </row>
    <row r="62" spans="2:54" x14ac:dyDescent="0.3">
      <c r="C62" s="3" t="s">
        <v>52</v>
      </c>
      <c r="D62" s="3"/>
      <c r="E62" s="3"/>
      <c r="F62" s="3"/>
      <c r="G62" s="3"/>
      <c r="H62" s="3"/>
      <c r="I62" s="3"/>
      <c r="J62" s="3"/>
      <c r="K62" s="3"/>
      <c r="L62" s="3"/>
      <c r="M62" s="3"/>
      <c r="N62" s="3"/>
      <c r="O62" s="3"/>
      <c r="P62" s="3"/>
    </row>
    <row r="63" spans="2:54" x14ac:dyDescent="0.3">
      <c r="C63" s="4" t="s">
        <v>54</v>
      </c>
      <c r="D63" s="4" t="s">
        <v>134</v>
      </c>
      <c r="E63" s="4" t="s">
        <v>133</v>
      </c>
      <c r="F63" s="4" t="s">
        <v>206</v>
      </c>
      <c r="G63" s="4" t="s">
        <v>191</v>
      </c>
      <c r="H63" s="4" t="s">
        <v>192</v>
      </c>
      <c r="I63" s="4" t="s">
        <v>193</v>
      </c>
      <c r="J63" s="4" t="s">
        <v>194</v>
      </c>
      <c r="K63" s="4" t="s">
        <v>197</v>
      </c>
      <c r="L63" s="4" t="s">
        <v>198</v>
      </c>
      <c r="M63" s="4" t="s">
        <v>199</v>
      </c>
      <c r="N63" s="4" t="s">
        <v>200</v>
      </c>
      <c r="O63" s="4" t="s">
        <v>201</v>
      </c>
      <c r="P63" s="52"/>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4"/>
      <c r="BB63" s="19"/>
    </row>
    <row r="64" spans="2:54" x14ac:dyDescent="0.3">
      <c r="C64" s="5">
        <v>45657</v>
      </c>
      <c r="D64" s="4" t="s">
        <v>184</v>
      </c>
      <c r="E64" s="4">
        <v>29110780</v>
      </c>
      <c r="F64" s="4">
        <v>8978681</v>
      </c>
      <c r="G64" s="4">
        <v>0</v>
      </c>
      <c r="H64" s="4">
        <v>20132099</v>
      </c>
      <c r="I64" s="4">
        <v>0</v>
      </c>
      <c r="J64" s="4">
        <v>0</v>
      </c>
      <c r="K64" s="4">
        <v>6299154</v>
      </c>
      <c r="L64" s="4">
        <v>0</v>
      </c>
      <c r="M64" s="4">
        <v>22811626</v>
      </c>
      <c r="N64" s="4">
        <v>0</v>
      </c>
      <c r="O64" s="4">
        <v>0</v>
      </c>
      <c r="P64" s="60"/>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61"/>
      <c r="BB64" s="19"/>
    </row>
    <row r="65" spans="2:54" x14ac:dyDescent="0.3">
      <c r="B65" t="s">
        <v>111</v>
      </c>
      <c r="C65" s="4"/>
      <c r="D65" s="4"/>
      <c r="E65" s="4"/>
      <c r="F65" s="28">
        <f>($E$64-(G64+I64+J64))/$E$64</f>
        <v>1</v>
      </c>
      <c r="G65" s="28"/>
      <c r="H65" s="28"/>
      <c r="I65" s="28"/>
      <c r="J65" s="28"/>
      <c r="K65" s="28">
        <f>($E$64-(L64+N64+O64))/$E$64</f>
        <v>1</v>
      </c>
      <c r="L65" s="28"/>
      <c r="M65" s="28"/>
      <c r="N65" s="28"/>
      <c r="O65" s="28"/>
      <c r="P65" s="55"/>
      <c r="Q65" s="56"/>
      <c r="R65" s="56"/>
      <c r="S65" s="56"/>
      <c r="T65" s="56"/>
      <c r="U65" s="56"/>
      <c r="V65" s="56"/>
      <c r="W65" s="56"/>
      <c r="X65" s="56"/>
      <c r="Y65" s="56"/>
      <c r="Z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7"/>
    </row>
    <row r="66" spans="2:54" x14ac:dyDescent="0.3">
      <c r="C66" s="4" t="s">
        <v>54</v>
      </c>
      <c r="D66" s="4" t="s">
        <v>134</v>
      </c>
      <c r="E66" s="4" t="s">
        <v>133</v>
      </c>
      <c r="F66" s="4" t="s">
        <v>206</v>
      </c>
      <c r="G66" s="4" t="s">
        <v>191</v>
      </c>
      <c r="H66" s="4" t="s">
        <v>192</v>
      </c>
      <c r="I66" s="4" t="s">
        <v>193</v>
      </c>
      <c r="J66" s="4" t="s">
        <v>194</v>
      </c>
      <c r="K66" s="4" t="s">
        <v>197</v>
      </c>
      <c r="L66" s="4" t="s">
        <v>198</v>
      </c>
      <c r="M66" s="4" t="s">
        <v>199</v>
      </c>
      <c r="N66" s="4" t="s">
        <v>200</v>
      </c>
      <c r="O66" s="4" t="s">
        <v>201</v>
      </c>
      <c r="P66" s="52"/>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4"/>
      <c r="BB66" s="19"/>
    </row>
    <row r="67" spans="2:54" x14ac:dyDescent="0.3">
      <c r="C67" s="5">
        <v>45657</v>
      </c>
      <c r="D67" s="4" t="s">
        <v>185</v>
      </c>
      <c r="E67" s="4">
        <v>8948</v>
      </c>
      <c r="F67" s="4">
        <v>8944</v>
      </c>
      <c r="G67" s="4">
        <v>0</v>
      </c>
      <c r="H67" s="4">
        <v>4</v>
      </c>
      <c r="I67" s="4">
        <v>0</v>
      </c>
      <c r="J67" s="4">
        <v>0</v>
      </c>
      <c r="K67" s="4">
        <v>8944</v>
      </c>
      <c r="L67" s="4">
        <v>0</v>
      </c>
      <c r="M67" s="4">
        <v>4</v>
      </c>
      <c r="N67" s="4">
        <v>0</v>
      </c>
      <c r="O67" s="4">
        <v>0</v>
      </c>
      <c r="P67" s="60"/>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61"/>
      <c r="BB67" s="19"/>
    </row>
    <row r="68" spans="2:54" x14ac:dyDescent="0.3">
      <c r="B68" t="s">
        <v>111</v>
      </c>
      <c r="C68" s="4"/>
      <c r="D68" s="4"/>
      <c r="E68" s="4"/>
      <c r="F68" s="28">
        <f>($E$64-(G67+I67+J67))/$E$64</f>
        <v>1</v>
      </c>
      <c r="G68" s="28"/>
      <c r="H68" s="28"/>
      <c r="I68" s="28"/>
      <c r="J68" s="28"/>
      <c r="K68" s="28">
        <f>($E$64-(L67+N67+O67))/$E$64</f>
        <v>1</v>
      </c>
      <c r="L68" s="28"/>
      <c r="M68" s="28"/>
      <c r="N68" s="28"/>
      <c r="O68" s="28"/>
      <c r="P68" s="55"/>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7"/>
    </row>
    <row r="70" spans="2:54" x14ac:dyDescent="0.3">
      <c r="C70" s="3" t="s">
        <v>113</v>
      </c>
      <c r="D70" s="3"/>
      <c r="E70" s="3"/>
      <c r="F70" s="3"/>
      <c r="G70" s="3"/>
      <c r="H70" s="3"/>
      <c r="I70" s="3"/>
      <c r="J70" s="3"/>
      <c r="K70" s="3"/>
      <c r="L70" s="3"/>
      <c r="M70" s="3"/>
      <c r="N70" s="3"/>
      <c r="O70" s="3"/>
      <c r="P70" s="3"/>
    </row>
    <row r="72" spans="2:54" x14ac:dyDescent="0.3">
      <c r="C72" s="21" t="s">
        <v>114</v>
      </c>
    </row>
    <row r="73" spans="2:54" ht="14.4" customHeight="1" x14ac:dyDescent="0.3">
      <c r="D73" s="114" t="s">
        <v>207</v>
      </c>
      <c r="E73" s="114"/>
      <c r="F73" s="114"/>
      <c r="G73" s="114"/>
      <c r="H73" s="114"/>
      <c r="I73" s="114"/>
      <c r="J73" s="114"/>
      <c r="K73" s="114"/>
      <c r="L73" s="114"/>
      <c r="M73" s="114"/>
      <c r="N73" s="114"/>
    </row>
    <row r="74" spans="2:54" x14ac:dyDescent="0.3">
      <c r="C74" s="20" t="s">
        <v>116</v>
      </c>
    </row>
    <row r="75" spans="2:54" ht="14.4" customHeight="1" x14ac:dyDescent="0.3">
      <c r="O75" s="22"/>
      <c r="P75" s="22"/>
    </row>
    <row r="76" spans="2:54" x14ac:dyDescent="0.3">
      <c r="C76" s="21" t="s">
        <v>118</v>
      </c>
    </row>
    <row r="77" spans="2:54" x14ac:dyDescent="0.3">
      <c r="D77" s="115"/>
      <c r="E77" s="115"/>
      <c r="F77" s="115"/>
      <c r="G77" s="115"/>
      <c r="H77" s="115"/>
      <c r="I77" s="115"/>
      <c r="J77" s="115"/>
      <c r="K77" s="115"/>
      <c r="L77" s="115"/>
      <c r="M77" s="115"/>
      <c r="N77" s="115"/>
      <c r="O77" s="115"/>
      <c r="P77" s="115"/>
    </row>
    <row r="78" spans="2:54" x14ac:dyDescent="0.3">
      <c r="C78" s="21" t="s">
        <v>119</v>
      </c>
    </row>
    <row r="79" spans="2:54" x14ac:dyDescent="0.3">
      <c r="D79" s="115"/>
      <c r="E79" s="115"/>
      <c r="F79" s="115"/>
      <c r="G79" s="115"/>
      <c r="H79" s="115"/>
      <c r="I79" s="115"/>
      <c r="J79" s="115"/>
      <c r="K79" s="115"/>
      <c r="L79" s="115"/>
      <c r="M79" s="115"/>
      <c r="N79" s="115"/>
      <c r="O79" s="115"/>
      <c r="P79" s="115"/>
    </row>
    <row r="80" spans="2:54" x14ac:dyDescent="0.3">
      <c r="D80" s="22"/>
      <c r="E80" s="22"/>
      <c r="F80" s="22"/>
      <c r="G80" s="22"/>
      <c r="H80" s="22"/>
      <c r="I80" s="22"/>
      <c r="J80" s="22"/>
      <c r="K80" s="22"/>
      <c r="L80" s="22"/>
      <c r="M80" s="22"/>
      <c r="N80" s="22"/>
      <c r="O80" s="22"/>
      <c r="P80" s="22"/>
    </row>
    <row r="81" spans="3:16" x14ac:dyDescent="0.3">
      <c r="C81" s="3" t="s">
        <v>120</v>
      </c>
      <c r="D81" s="23"/>
      <c r="E81" s="23"/>
      <c r="F81" s="3"/>
      <c r="G81" s="3"/>
      <c r="H81" s="3"/>
      <c r="I81" s="3"/>
      <c r="J81" s="3"/>
      <c r="K81" s="3"/>
      <c r="L81" s="3"/>
      <c r="M81" s="3"/>
      <c r="N81" s="3"/>
      <c r="O81" s="3"/>
      <c r="P81" s="3"/>
    </row>
    <row r="84" spans="3:16" x14ac:dyDescent="0.3">
      <c r="C84" s="3" t="s">
        <v>121</v>
      </c>
      <c r="D84" s="3"/>
      <c r="E84" s="3"/>
      <c r="F84" s="3"/>
      <c r="G84" s="3"/>
      <c r="H84" s="3"/>
      <c r="I84" s="3"/>
      <c r="J84" s="3"/>
      <c r="K84" s="3"/>
      <c r="L84" s="3"/>
      <c r="M84" s="3"/>
      <c r="N84" s="3"/>
      <c r="O84" s="3"/>
      <c r="P84" s="3"/>
    </row>
    <row r="187" ht="44.4" customHeight="1" x14ac:dyDescent="0.3"/>
    <row r="189" ht="14.4" customHeight="1" x14ac:dyDescent="0.3"/>
    <row r="201" ht="14.4" customHeight="1" x14ac:dyDescent="0.3"/>
  </sheetData>
  <mergeCells count="10">
    <mergeCell ref="D73:N73"/>
    <mergeCell ref="D77:P77"/>
    <mergeCell ref="D79:P79"/>
    <mergeCell ref="D49:N49"/>
    <mergeCell ref="D55:N55"/>
    <mergeCell ref="D16:N16"/>
    <mergeCell ref="D20:P20"/>
    <mergeCell ref="D22:P22"/>
    <mergeCell ref="D35:N35"/>
    <mergeCell ref="D41:N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9C889-D760-4527-A90A-BC517269DA05}">
  <dimension ref="A2:FC192"/>
  <sheetViews>
    <sheetView topLeftCell="A25" zoomScaleNormal="100" workbookViewId="0">
      <selection activeCell="C45" sqref="C45:Z46"/>
    </sheetView>
  </sheetViews>
  <sheetFormatPr defaultRowHeight="14.4" x14ac:dyDescent="0.3"/>
  <cols>
    <col min="3" max="3" width="26.5546875" bestFit="1" customWidth="1"/>
    <col min="4" max="4" width="27.44140625" bestFit="1" customWidth="1"/>
    <col min="5" max="5" width="32.5546875" customWidth="1"/>
    <col min="6" max="6" width="15" bestFit="1" customWidth="1"/>
    <col min="7" max="7" width="18.44140625" bestFit="1" customWidth="1"/>
    <col min="8" max="8" width="19.88671875" bestFit="1" customWidth="1"/>
    <col min="9" max="9" width="9.88671875" bestFit="1" customWidth="1"/>
    <col min="10" max="10" width="22.88671875" customWidth="1"/>
    <col min="11" max="11" width="20.109375" bestFit="1" customWidth="1"/>
    <col min="12" max="12" width="28.44140625" bestFit="1" customWidth="1"/>
    <col min="13" max="13" width="15.109375" bestFit="1" customWidth="1"/>
    <col min="14" max="14" width="15.5546875" bestFit="1" customWidth="1"/>
    <col min="15" max="15" width="15.109375" bestFit="1" customWidth="1"/>
    <col min="16" max="16" width="11.109375" bestFit="1" customWidth="1"/>
    <col min="17" max="17" width="7.44140625" bestFit="1" customWidth="1"/>
    <col min="18" max="18" width="9.5546875" bestFit="1" customWidth="1"/>
  </cols>
  <sheetData>
    <row r="2" spans="1:159" x14ac:dyDescent="0.3">
      <c r="B2" s="1" t="s">
        <v>208</v>
      </c>
      <c r="C2" s="1"/>
      <c r="D2" s="1"/>
      <c r="E2" s="1"/>
      <c r="F2" s="1"/>
      <c r="G2" s="1"/>
      <c r="H2" s="1"/>
      <c r="I2" s="1"/>
      <c r="J2" s="1"/>
      <c r="K2" s="1"/>
      <c r="L2" s="1"/>
      <c r="M2" s="1"/>
      <c r="N2" s="1"/>
      <c r="O2" s="1"/>
      <c r="P2" s="1"/>
    </row>
    <row r="3" spans="1:159" x14ac:dyDescent="0.3">
      <c r="B3" s="2"/>
    </row>
    <row r="4" spans="1:159" x14ac:dyDescent="0.3">
      <c r="B4" s="2"/>
    </row>
    <row r="5" spans="1:159" x14ac:dyDescent="0.3">
      <c r="C5" s="3" t="s">
        <v>52</v>
      </c>
      <c r="D5" s="3"/>
      <c r="E5" s="3"/>
      <c r="F5" s="3"/>
      <c r="G5" s="3"/>
      <c r="H5" s="3"/>
      <c r="I5" s="3"/>
      <c r="J5" s="3"/>
      <c r="K5" s="3"/>
      <c r="L5" s="3"/>
      <c r="M5" s="3"/>
      <c r="N5" s="3"/>
      <c r="O5" s="3"/>
      <c r="P5" s="3"/>
    </row>
    <row r="6" spans="1:159" x14ac:dyDescent="0.3">
      <c r="C6" s="32" t="s">
        <v>209</v>
      </c>
      <c r="D6" s="32" t="s">
        <v>210</v>
      </c>
      <c r="E6" s="32" t="s">
        <v>133</v>
      </c>
      <c r="F6" s="32" t="s">
        <v>54</v>
      </c>
      <c r="G6" s="32" t="s">
        <v>211</v>
      </c>
      <c r="H6" s="32" t="s">
        <v>212</v>
      </c>
      <c r="I6" s="32" t="s">
        <v>213</v>
      </c>
      <c r="J6" s="32" t="s">
        <v>214</v>
      </c>
      <c r="K6" s="32" t="s">
        <v>215</v>
      </c>
      <c r="L6" s="32" t="s">
        <v>216</v>
      </c>
      <c r="M6" s="32" t="s">
        <v>217</v>
      </c>
      <c r="N6" s="32" t="s">
        <v>218</v>
      </c>
      <c r="O6" s="32" t="s">
        <v>219</v>
      </c>
      <c r="P6" s="32" t="s">
        <v>220</v>
      </c>
      <c r="Q6" s="32" t="s">
        <v>221</v>
      </c>
      <c r="R6" s="32" t="s">
        <v>222</v>
      </c>
      <c r="S6" s="32" t="s">
        <v>223</v>
      </c>
      <c r="T6" s="32" t="s">
        <v>224</v>
      </c>
      <c r="U6" s="32" t="s">
        <v>225</v>
      </c>
      <c r="V6" s="32" t="s">
        <v>226</v>
      </c>
      <c r="W6" s="32" t="s">
        <v>227</v>
      </c>
      <c r="X6" s="32" t="s">
        <v>228</v>
      </c>
      <c r="Y6" s="32" t="s">
        <v>229</v>
      </c>
      <c r="Z6" s="32" t="s">
        <v>230</v>
      </c>
      <c r="AA6" s="32" t="s">
        <v>231</v>
      </c>
      <c r="AB6" s="32" t="s">
        <v>232</v>
      </c>
      <c r="AC6" s="32" t="s">
        <v>233</v>
      </c>
      <c r="AD6" s="32" t="s">
        <v>234</v>
      </c>
      <c r="AE6" s="32" t="s">
        <v>235</v>
      </c>
      <c r="AF6" s="32" t="s">
        <v>236</v>
      </c>
      <c r="AG6" s="32" t="s">
        <v>237</v>
      </c>
      <c r="AH6" s="32" t="s">
        <v>238</v>
      </c>
      <c r="AI6" s="32" t="s">
        <v>239</v>
      </c>
      <c r="AJ6" s="32" t="s">
        <v>240</v>
      </c>
      <c r="AK6" s="32" t="s">
        <v>241</v>
      </c>
      <c r="AL6" s="32" t="s">
        <v>242</v>
      </c>
      <c r="AM6" s="32" t="s">
        <v>243</v>
      </c>
      <c r="AN6" s="32" t="s">
        <v>244</v>
      </c>
      <c r="AO6" s="32" t="s">
        <v>245</v>
      </c>
      <c r="AP6" s="32" t="s">
        <v>246</v>
      </c>
      <c r="AQ6" s="32" t="s">
        <v>247</v>
      </c>
      <c r="AR6" s="32" t="s">
        <v>248</v>
      </c>
      <c r="AS6" s="32" t="s">
        <v>249</v>
      </c>
      <c r="AT6" s="32" t="s">
        <v>250</v>
      </c>
      <c r="AU6" s="32" t="s">
        <v>251</v>
      </c>
      <c r="AV6" s="32" t="s">
        <v>252</v>
      </c>
      <c r="AW6" s="32" t="s">
        <v>253</v>
      </c>
      <c r="AX6" s="32" t="s">
        <v>254</v>
      </c>
      <c r="AY6" s="32" t="s">
        <v>255</v>
      </c>
      <c r="AZ6" s="32" t="s">
        <v>256</v>
      </c>
      <c r="BA6" s="32" t="s">
        <v>257</v>
      </c>
      <c r="BB6" s="32" t="s">
        <v>258</v>
      </c>
      <c r="BC6" s="32" t="s">
        <v>259</v>
      </c>
      <c r="BD6" s="32" t="s">
        <v>260</v>
      </c>
      <c r="BE6" s="32" t="s">
        <v>261</v>
      </c>
      <c r="BF6" s="32" t="s">
        <v>262</v>
      </c>
      <c r="BG6" s="32" t="s">
        <v>263</v>
      </c>
      <c r="BH6" s="32" t="s">
        <v>264</v>
      </c>
      <c r="BI6" s="32" t="s">
        <v>265</v>
      </c>
      <c r="BJ6" s="32" t="s">
        <v>266</v>
      </c>
      <c r="BK6" s="32" t="s">
        <v>267</v>
      </c>
      <c r="BL6" s="32" t="s">
        <v>268</v>
      </c>
      <c r="BM6" s="32" t="s">
        <v>269</v>
      </c>
      <c r="BN6" s="32" t="s">
        <v>270</v>
      </c>
      <c r="BO6" s="32" t="s">
        <v>271</v>
      </c>
      <c r="BP6" s="32" t="s">
        <v>272</v>
      </c>
      <c r="BQ6" s="32" t="s">
        <v>273</v>
      </c>
      <c r="BR6" s="32" t="s">
        <v>274</v>
      </c>
      <c r="BS6" s="32" t="s">
        <v>275</v>
      </c>
      <c r="BT6" s="32" t="s">
        <v>276</v>
      </c>
      <c r="BU6" s="32" t="s">
        <v>277</v>
      </c>
      <c r="BV6" s="32" t="s">
        <v>278</v>
      </c>
      <c r="BW6" s="32" t="s">
        <v>279</v>
      </c>
      <c r="BX6" s="32" t="s">
        <v>280</v>
      </c>
      <c r="BY6" s="32" t="s">
        <v>281</v>
      </c>
      <c r="BZ6" s="32" t="s">
        <v>282</v>
      </c>
      <c r="CA6" s="32" t="s">
        <v>151</v>
      </c>
      <c r="CB6" s="32" t="s">
        <v>152</v>
      </c>
      <c r="CC6" s="32" t="s">
        <v>283</v>
      </c>
      <c r="CD6" s="32" t="s">
        <v>284</v>
      </c>
      <c r="CE6" s="32" t="s">
        <v>155</v>
      </c>
      <c r="CF6" s="32" t="s">
        <v>156</v>
      </c>
      <c r="CG6" s="32" t="s">
        <v>285</v>
      </c>
      <c r="CH6" s="32" t="s">
        <v>286</v>
      </c>
      <c r="CI6" s="32" t="s">
        <v>159</v>
      </c>
      <c r="CJ6" s="32" t="s">
        <v>160</v>
      </c>
      <c r="CK6" s="32" t="s">
        <v>287</v>
      </c>
      <c r="CL6" s="32" t="s">
        <v>288</v>
      </c>
      <c r="CM6" s="32" t="s">
        <v>289</v>
      </c>
      <c r="CN6" s="32" t="s">
        <v>290</v>
      </c>
      <c r="CO6" s="32" t="s">
        <v>291</v>
      </c>
      <c r="CP6" s="32" t="s">
        <v>292</v>
      </c>
      <c r="CQ6" s="32" t="s">
        <v>293</v>
      </c>
      <c r="CR6" s="32" t="s">
        <v>294</v>
      </c>
      <c r="CS6" s="32" t="s">
        <v>295</v>
      </c>
      <c r="CT6" s="32" t="s">
        <v>296</v>
      </c>
      <c r="CU6" s="32" t="s">
        <v>297</v>
      </c>
      <c r="CV6" s="32" t="s">
        <v>298</v>
      </c>
      <c r="CW6" s="32" t="s">
        <v>299</v>
      </c>
      <c r="CX6" s="32" t="s">
        <v>300</v>
      </c>
      <c r="CY6" s="32" t="s">
        <v>301</v>
      </c>
      <c r="CZ6" s="32" t="s">
        <v>302</v>
      </c>
      <c r="DA6" s="32" t="s">
        <v>303</v>
      </c>
      <c r="DB6" s="32" t="s">
        <v>304</v>
      </c>
      <c r="DC6" s="32" t="s">
        <v>305</v>
      </c>
      <c r="DD6" s="32" t="s">
        <v>306</v>
      </c>
      <c r="DE6" s="32" t="s">
        <v>307</v>
      </c>
      <c r="DF6" s="32" t="s">
        <v>308</v>
      </c>
      <c r="DG6" s="32" t="s">
        <v>309</v>
      </c>
      <c r="DH6" s="32" t="s">
        <v>310</v>
      </c>
      <c r="DI6" s="32" t="s">
        <v>311</v>
      </c>
      <c r="DJ6" s="32" t="s">
        <v>312</v>
      </c>
      <c r="DK6" s="32" t="s">
        <v>313</v>
      </c>
      <c r="DL6" s="32" t="s">
        <v>314</v>
      </c>
      <c r="DM6" s="32" t="s">
        <v>315</v>
      </c>
      <c r="DN6" s="32" t="s">
        <v>316</v>
      </c>
      <c r="DO6" s="32" t="s">
        <v>317</v>
      </c>
      <c r="DP6" s="32" t="s">
        <v>318</v>
      </c>
      <c r="DQ6" s="32" t="s">
        <v>319</v>
      </c>
      <c r="DR6" s="32" t="s">
        <v>320</v>
      </c>
      <c r="DS6" s="32" t="s">
        <v>321</v>
      </c>
      <c r="DT6" s="32" t="s">
        <v>322</v>
      </c>
      <c r="DU6" s="32" t="s">
        <v>323</v>
      </c>
      <c r="DV6" s="32" t="s">
        <v>324</v>
      </c>
      <c r="DW6" s="32" t="s">
        <v>325</v>
      </c>
      <c r="DX6" s="32" t="s">
        <v>326</v>
      </c>
      <c r="DY6" s="32" t="s">
        <v>327</v>
      </c>
      <c r="DZ6" s="32" t="s">
        <v>328</v>
      </c>
      <c r="EA6" s="32" t="s">
        <v>329</v>
      </c>
      <c r="EB6" s="32" t="s">
        <v>330</v>
      </c>
      <c r="EC6" s="32" t="s">
        <v>331</v>
      </c>
      <c r="ED6" s="32" t="s">
        <v>332</v>
      </c>
      <c r="EE6" s="32" t="s">
        <v>333</v>
      </c>
      <c r="EF6" s="32" t="s">
        <v>334</v>
      </c>
      <c r="EG6" s="32" t="s">
        <v>335</v>
      </c>
      <c r="EH6" s="32" t="s">
        <v>336</v>
      </c>
      <c r="EI6" s="32" t="s">
        <v>337</v>
      </c>
      <c r="EJ6" s="32" t="s">
        <v>338</v>
      </c>
      <c r="EK6" s="32" t="s">
        <v>339</v>
      </c>
      <c r="EL6" s="32" t="s">
        <v>340</v>
      </c>
      <c r="EM6" s="32" t="s">
        <v>341</v>
      </c>
      <c r="EN6" s="32" t="s">
        <v>342</v>
      </c>
      <c r="EO6" s="32" t="s">
        <v>343</v>
      </c>
      <c r="EP6" s="32" t="s">
        <v>344</v>
      </c>
      <c r="EQ6" s="32" t="s">
        <v>345</v>
      </c>
      <c r="ER6" s="32" t="s">
        <v>346</v>
      </c>
      <c r="ES6" s="32" t="s">
        <v>347</v>
      </c>
      <c r="ET6" s="32" t="s">
        <v>348</v>
      </c>
      <c r="EU6" s="32" t="s">
        <v>349</v>
      </c>
      <c r="EV6" s="32" t="s">
        <v>350</v>
      </c>
      <c r="EW6" s="32" t="s">
        <v>351</v>
      </c>
      <c r="EX6" s="32" t="s">
        <v>352</v>
      </c>
      <c r="EY6" s="32" t="s">
        <v>353</v>
      </c>
      <c r="EZ6" s="32" t="s">
        <v>354</v>
      </c>
      <c r="FA6" s="32" t="s">
        <v>355</v>
      </c>
      <c r="FB6" s="32" t="s">
        <v>356</v>
      </c>
      <c r="FC6" s="19"/>
    </row>
    <row r="7" spans="1:159" x14ac:dyDescent="0.3">
      <c r="C7" s="32" t="s">
        <v>357</v>
      </c>
      <c r="D7" s="32" t="s">
        <v>358</v>
      </c>
      <c r="E7" s="4">
        <v>10568187</v>
      </c>
      <c r="F7" s="5">
        <v>45657</v>
      </c>
      <c r="G7" s="6">
        <v>10568187</v>
      </c>
      <c r="H7" s="4">
        <v>0</v>
      </c>
      <c r="I7" s="4">
        <v>0</v>
      </c>
      <c r="J7" s="4">
        <v>0</v>
      </c>
      <c r="K7" s="6">
        <v>10568187</v>
      </c>
      <c r="L7" s="4">
        <v>0</v>
      </c>
      <c r="M7" s="4">
        <v>0</v>
      </c>
      <c r="N7" s="4">
        <v>0</v>
      </c>
      <c r="O7" s="6">
        <v>10568187</v>
      </c>
      <c r="P7" s="4">
        <v>0</v>
      </c>
      <c r="Q7" s="4">
        <v>0</v>
      </c>
      <c r="R7" s="4">
        <v>0</v>
      </c>
      <c r="S7" s="6">
        <v>10568187</v>
      </c>
      <c r="T7" s="4">
        <v>0</v>
      </c>
      <c r="U7" s="4">
        <v>0</v>
      </c>
      <c r="V7" s="4">
        <v>0</v>
      </c>
      <c r="W7" s="6">
        <v>10568187</v>
      </c>
      <c r="X7" s="4">
        <v>0</v>
      </c>
      <c r="Y7" s="4">
        <v>0</v>
      </c>
      <c r="Z7" s="4">
        <v>0</v>
      </c>
      <c r="AA7" s="6">
        <v>10568187</v>
      </c>
      <c r="AB7" s="4">
        <v>0</v>
      </c>
      <c r="AC7" s="4">
        <v>0</v>
      </c>
      <c r="AD7" s="4">
        <v>0</v>
      </c>
      <c r="AE7" s="4">
        <v>0</v>
      </c>
      <c r="AF7" s="6">
        <v>10568187</v>
      </c>
      <c r="AG7" s="4">
        <v>0</v>
      </c>
      <c r="AH7" s="4">
        <v>0</v>
      </c>
      <c r="AI7" s="4">
        <v>0</v>
      </c>
      <c r="AJ7" s="6">
        <v>10568187</v>
      </c>
      <c r="AK7" s="4">
        <v>0</v>
      </c>
      <c r="AL7" s="4">
        <v>0</v>
      </c>
      <c r="AM7" s="4">
        <v>10568176</v>
      </c>
      <c r="AN7" s="7">
        <v>11</v>
      </c>
      <c r="AO7" s="4">
        <v>0</v>
      </c>
      <c r="AP7" s="4">
        <v>0</v>
      </c>
      <c r="AQ7" s="6">
        <v>10568187</v>
      </c>
      <c r="AR7" s="4">
        <v>0</v>
      </c>
      <c r="AS7" s="4">
        <v>0</v>
      </c>
      <c r="AT7" s="4">
        <v>0</v>
      </c>
      <c r="AU7" s="6">
        <v>10568187</v>
      </c>
      <c r="AV7" s="4">
        <v>0</v>
      </c>
      <c r="AW7" s="4">
        <v>0</v>
      </c>
      <c r="AX7" s="4">
        <v>0</v>
      </c>
      <c r="AY7" s="6">
        <v>10568187</v>
      </c>
      <c r="AZ7" s="4">
        <v>0</v>
      </c>
      <c r="BA7" s="4">
        <v>0</v>
      </c>
      <c r="BB7" s="4">
        <v>0</v>
      </c>
      <c r="BC7" s="6">
        <v>10568187</v>
      </c>
      <c r="BD7" s="4">
        <v>0</v>
      </c>
      <c r="BE7" s="4">
        <v>0</v>
      </c>
      <c r="BF7" s="4">
        <v>0</v>
      </c>
      <c r="BG7" s="6">
        <v>10568187</v>
      </c>
      <c r="BH7" s="4">
        <v>0</v>
      </c>
      <c r="BI7" s="4">
        <v>0</v>
      </c>
      <c r="BJ7" s="4">
        <v>0</v>
      </c>
      <c r="BK7" s="6">
        <v>10568187</v>
      </c>
      <c r="BL7" s="4">
        <v>0</v>
      </c>
      <c r="BM7" s="4">
        <v>0</v>
      </c>
      <c r="BN7" s="4">
        <v>0</v>
      </c>
      <c r="BO7" s="6">
        <v>10568187</v>
      </c>
      <c r="BP7" s="4">
        <v>0</v>
      </c>
      <c r="BQ7" s="4">
        <v>0</v>
      </c>
      <c r="BR7" s="4">
        <v>0</v>
      </c>
      <c r="BS7" s="6">
        <v>10568187</v>
      </c>
      <c r="BT7" s="4">
        <v>0</v>
      </c>
      <c r="BU7" s="4">
        <v>0</v>
      </c>
      <c r="BV7" s="4">
        <v>0</v>
      </c>
      <c r="BW7" s="6">
        <v>10568187</v>
      </c>
      <c r="BX7" s="4">
        <v>0</v>
      </c>
      <c r="BY7" s="4">
        <v>0</v>
      </c>
      <c r="BZ7" s="4">
        <v>0</v>
      </c>
      <c r="CA7" s="4">
        <v>10114940</v>
      </c>
      <c r="CB7" s="7">
        <v>453058</v>
      </c>
      <c r="CC7" s="7">
        <v>189</v>
      </c>
      <c r="CD7" s="4">
        <v>0</v>
      </c>
      <c r="CE7" s="6">
        <v>10568187</v>
      </c>
      <c r="CF7" s="4">
        <v>0</v>
      </c>
      <c r="CG7" s="4">
        <v>0</v>
      </c>
      <c r="CH7" s="4">
        <v>0</v>
      </c>
      <c r="CI7" s="4">
        <v>10119279</v>
      </c>
      <c r="CJ7" s="7">
        <v>448720</v>
      </c>
      <c r="CK7" s="7">
        <v>188</v>
      </c>
      <c r="CL7" s="4">
        <v>0</v>
      </c>
      <c r="CM7" s="6">
        <v>10568187</v>
      </c>
      <c r="CN7" s="4">
        <v>0</v>
      </c>
      <c r="CO7" s="4">
        <v>0</v>
      </c>
      <c r="CP7" s="4">
        <v>0</v>
      </c>
      <c r="CQ7" s="6">
        <v>10568187</v>
      </c>
      <c r="CR7" s="4">
        <v>0</v>
      </c>
      <c r="CS7" s="4">
        <v>0</v>
      </c>
      <c r="CT7" s="4">
        <v>0</v>
      </c>
      <c r="CU7" s="6">
        <v>10568187</v>
      </c>
      <c r="CV7" s="4">
        <v>0</v>
      </c>
      <c r="CW7" s="4">
        <v>0</v>
      </c>
      <c r="CX7" s="4">
        <v>0</v>
      </c>
      <c r="CY7" s="6">
        <v>10568187</v>
      </c>
      <c r="CZ7" s="4">
        <v>0</v>
      </c>
      <c r="DA7" s="4">
        <v>0</v>
      </c>
      <c r="DB7" s="4">
        <v>0</v>
      </c>
      <c r="DC7" s="6">
        <v>10568187</v>
      </c>
      <c r="DD7" s="4">
        <v>0</v>
      </c>
      <c r="DE7" s="4">
        <v>0</v>
      </c>
      <c r="DF7" s="4">
        <v>0</v>
      </c>
      <c r="DG7" s="6">
        <v>10568187</v>
      </c>
      <c r="DH7" s="4">
        <v>0</v>
      </c>
      <c r="DI7" s="4">
        <v>0</v>
      </c>
      <c r="DJ7" s="4">
        <v>0</v>
      </c>
      <c r="DK7" s="6">
        <v>10568187</v>
      </c>
      <c r="DL7" s="4">
        <v>0</v>
      </c>
      <c r="DM7" s="4">
        <v>0</v>
      </c>
      <c r="DN7" s="4">
        <v>0</v>
      </c>
      <c r="DO7" s="6">
        <v>10568187</v>
      </c>
      <c r="DP7" s="4">
        <v>0</v>
      </c>
      <c r="DQ7" s="4">
        <v>0</v>
      </c>
      <c r="DR7" s="4">
        <v>0</v>
      </c>
      <c r="DS7" s="4">
        <v>10568144</v>
      </c>
      <c r="DT7" s="7">
        <v>43</v>
      </c>
      <c r="DU7" s="4">
        <v>0</v>
      </c>
      <c r="DV7" s="4">
        <v>0</v>
      </c>
      <c r="DW7" s="6">
        <v>10568187</v>
      </c>
      <c r="DX7" s="4">
        <v>0</v>
      </c>
      <c r="DY7" s="4">
        <v>0</v>
      </c>
      <c r="DZ7" s="4">
        <v>0</v>
      </c>
      <c r="EA7" s="6">
        <v>10568187</v>
      </c>
      <c r="EB7" s="4">
        <v>0</v>
      </c>
      <c r="EC7" s="4">
        <v>0</v>
      </c>
      <c r="ED7" s="4">
        <v>0</v>
      </c>
      <c r="EE7" s="6">
        <v>10568187</v>
      </c>
      <c r="EF7" s="4">
        <v>0</v>
      </c>
      <c r="EG7" s="4">
        <v>0</v>
      </c>
      <c r="EH7" s="4">
        <v>0</v>
      </c>
      <c r="EI7" s="6">
        <v>10568187</v>
      </c>
      <c r="EJ7" s="4">
        <v>0</v>
      </c>
      <c r="EK7" s="4">
        <v>0</v>
      </c>
      <c r="EL7" s="4">
        <v>0</v>
      </c>
      <c r="EM7" s="6">
        <v>10568187</v>
      </c>
      <c r="EN7" s="4">
        <v>0</v>
      </c>
      <c r="EO7" s="4">
        <v>0</v>
      </c>
      <c r="EP7" s="4">
        <v>0</v>
      </c>
      <c r="EQ7" s="6">
        <v>10568187</v>
      </c>
      <c r="ER7" s="4">
        <v>0</v>
      </c>
      <c r="ES7" s="4">
        <v>0</v>
      </c>
      <c r="ET7" s="4">
        <v>0</v>
      </c>
      <c r="EU7" s="6">
        <v>10568187</v>
      </c>
      <c r="EV7" s="4">
        <v>0</v>
      </c>
      <c r="EW7" s="4">
        <v>0</v>
      </c>
      <c r="EX7" s="4">
        <v>0</v>
      </c>
      <c r="EY7" s="4">
        <v>10568176</v>
      </c>
      <c r="EZ7" s="7">
        <v>11</v>
      </c>
      <c r="FA7" s="4">
        <v>0</v>
      </c>
      <c r="FB7" s="4">
        <v>0</v>
      </c>
      <c r="FC7" s="19"/>
    </row>
    <row r="8" spans="1:159" x14ac:dyDescent="0.3">
      <c r="B8" t="s">
        <v>359</v>
      </c>
      <c r="C8" s="8"/>
      <c r="D8" s="8"/>
      <c r="E8" s="8"/>
      <c r="F8" s="8"/>
      <c r="G8" s="27">
        <f>($E$7-(H7+I7+J7))/$E$7</f>
        <v>1</v>
      </c>
      <c r="H8" s="27"/>
      <c r="I8" s="27"/>
      <c r="J8" s="27"/>
      <c r="K8" s="27">
        <f>($E$7-(L7+M7+N7))/$E$7</f>
        <v>1</v>
      </c>
      <c r="L8" s="27"/>
      <c r="M8" s="27"/>
      <c r="N8" s="27"/>
      <c r="O8" s="27">
        <f>($E$7-(P7+Q7+R7))/$E$7</f>
        <v>1</v>
      </c>
      <c r="P8" s="27"/>
      <c r="Q8" s="27"/>
      <c r="R8" s="27"/>
      <c r="S8" s="27">
        <f>($E$7-(T7+U7+V7))/$E$7</f>
        <v>1</v>
      </c>
      <c r="T8" s="27"/>
      <c r="U8" s="27"/>
      <c r="V8" s="27"/>
      <c r="W8" s="27">
        <f>($E$7-(X7+Y7+Z7))/$E$7</f>
        <v>1</v>
      </c>
      <c r="X8" s="27"/>
      <c r="Y8" s="27"/>
      <c r="Z8" s="27"/>
      <c r="AA8" s="27">
        <f>($E$7-(AB7+AC7+AD7))/$E$7</f>
        <v>1</v>
      </c>
      <c r="AB8" s="27"/>
      <c r="AC8" s="27"/>
      <c r="AD8" s="27"/>
      <c r="AE8" s="27">
        <f>($E$7-(AF7+AG7+AH7))/$E$7</f>
        <v>0</v>
      </c>
      <c r="AF8" s="27"/>
      <c r="AG8" s="27"/>
      <c r="AH8" s="27"/>
      <c r="AI8" s="27">
        <f>($E$7-(AJ7+AK7+AL7))/$E$7</f>
        <v>0</v>
      </c>
      <c r="AJ8" s="27"/>
      <c r="AK8" s="27"/>
      <c r="AL8" s="27"/>
      <c r="AM8" s="27">
        <f>($E$7-(AN7+AO7+AP7))/$E$7</f>
        <v>0.99999895914029535</v>
      </c>
      <c r="AN8" s="27"/>
      <c r="AO8" s="27"/>
      <c r="AP8" s="27"/>
      <c r="AQ8" s="27">
        <f>($E$7-(AR7+AS7+AT7))/$E$7</f>
        <v>1</v>
      </c>
      <c r="AR8" s="27"/>
      <c r="AS8" s="27"/>
      <c r="AT8" s="27"/>
      <c r="AU8" s="27">
        <f>($E$7-(AV7+AW7+AX7))/$E$7</f>
        <v>1</v>
      </c>
      <c r="AV8" s="27"/>
      <c r="AW8" s="27"/>
      <c r="AX8" s="27"/>
      <c r="AY8" s="27">
        <f>($E$7-(AZ7+BA7+BB7))/$E$7</f>
        <v>1</v>
      </c>
      <c r="AZ8" s="27"/>
      <c r="BA8" s="27"/>
      <c r="BB8" s="27"/>
      <c r="BC8" s="27">
        <f>($E$7-(BD7+BE7+BF7))/$E$7</f>
        <v>1</v>
      </c>
      <c r="BD8" s="27"/>
      <c r="BE8" s="27"/>
      <c r="BF8" s="27"/>
      <c r="BG8" s="27">
        <f>($E$7-(BH7+BI7+BJ7))/$E$7</f>
        <v>1</v>
      </c>
      <c r="BH8" s="27"/>
      <c r="BI8" s="27"/>
      <c r="BJ8" s="27"/>
      <c r="BK8" s="27">
        <f>($E$7-(BL7+BM7+BN7))/$E$7</f>
        <v>1</v>
      </c>
      <c r="BL8" s="27"/>
      <c r="BM8" s="27"/>
      <c r="BN8" s="27"/>
      <c r="BO8" s="27">
        <f>($E$7-(BP7+BQ7+BR7))/$E$7</f>
        <v>1</v>
      </c>
      <c r="BP8" s="27"/>
      <c r="BQ8" s="27"/>
      <c r="BR8" s="27"/>
      <c r="BS8" s="27">
        <f>($E$7-(BT7+BU7+BV7))/$E$7</f>
        <v>1</v>
      </c>
      <c r="BT8" s="27"/>
      <c r="BU8" s="27"/>
      <c r="BV8" s="27"/>
      <c r="BW8" s="27">
        <f>($E$7-(BX7+BY7+BZ7))/$E$7</f>
        <v>1</v>
      </c>
      <c r="BX8" s="27"/>
      <c r="BY8" s="27"/>
      <c r="BZ8" s="27"/>
      <c r="CA8" s="27">
        <f>($E$7-(CB7+CC7+CD7))/$E$7</f>
        <v>0.95711213285684671</v>
      </c>
      <c r="CB8" s="27"/>
      <c r="CC8" s="27"/>
      <c r="CD8" s="27"/>
      <c r="CE8" s="27">
        <f>($E$7-(CF7+CG7+CH7))/$E$7</f>
        <v>1</v>
      </c>
      <c r="CF8" s="27"/>
      <c r="CG8" s="27"/>
      <c r="CH8" s="27"/>
      <c r="CI8" s="27">
        <f>($E$7-(CJ7+CK7+CL7))/$E$7</f>
        <v>0.95752270469854484</v>
      </c>
      <c r="CJ8" s="27"/>
      <c r="CK8" s="27"/>
      <c r="CL8" s="27"/>
      <c r="CM8" s="27">
        <f>($E$7-(CN7+CO7+CP7))/$E$7</f>
        <v>1</v>
      </c>
      <c r="CN8" s="27"/>
      <c r="CO8" s="27"/>
      <c r="CP8" s="27"/>
      <c r="CQ8" s="27">
        <f>($E$7-(CR7+CS7+CT7))/$E$7</f>
        <v>1</v>
      </c>
      <c r="CR8" s="27"/>
      <c r="CS8" s="27"/>
      <c r="CT8" s="27"/>
      <c r="CU8" s="27">
        <f>($E$7-(CV7+CW7+CX7))/$E$7</f>
        <v>1</v>
      </c>
      <c r="CV8" s="27"/>
      <c r="CW8" s="27"/>
      <c r="CX8" s="27"/>
      <c r="CY8" s="27">
        <f>($E$7-(CZ7+DA7+DB7))/$E$7</f>
        <v>1</v>
      </c>
      <c r="CZ8" s="27"/>
      <c r="DA8" s="27"/>
      <c r="DB8" s="27"/>
      <c r="DC8" s="27">
        <f>($E$7-(DD7+DE7+DF7))/$E$7</f>
        <v>1</v>
      </c>
      <c r="DD8" s="27"/>
      <c r="DE8" s="27"/>
      <c r="DF8" s="27"/>
      <c r="DG8" s="27">
        <f>($E$7-(DH7+DI7+DJ7))/$E$7</f>
        <v>1</v>
      </c>
      <c r="DH8" s="27"/>
      <c r="DI8" s="27"/>
      <c r="DJ8" s="27"/>
      <c r="DK8" s="27">
        <f>($E$7-(DL7+DM7+DN7))/$E$7</f>
        <v>1</v>
      </c>
      <c r="DL8" s="27"/>
      <c r="DM8" s="27"/>
      <c r="DN8" s="27"/>
      <c r="DO8" s="27">
        <f>($E$7-(DP7+DQ7+DR7))/$E$7</f>
        <v>1</v>
      </c>
      <c r="DP8" s="27"/>
      <c r="DQ8" s="27"/>
      <c r="DR8" s="27"/>
      <c r="DS8" s="27">
        <f>($E$7-(DT7+DU7+DV7))/$E$7</f>
        <v>0.99999593118479069</v>
      </c>
      <c r="DT8" s="27"/>
      <c r="DU8" s="27"/>
      <c r="DV8" s="27"/>
      <c r="DW8" s="27">
        <f>($E$7-(DX7+DY7+DZ7))/$E$7</f>
        <v>1</v>
      </c>
      <c r="DX8" s="27"/>
      <c r="DY8" s="27"/>
      <c r="DZ8" s="27"/>
      <c r="EA8" s="27">
        <f>($E$7-(EB7+EC7+ED7))/$E$7</f>
        <v>1</v>
      </c>
      <c r="EB8" s="27"/>
      <c r="EC8" s="27"/>
      <c r="ED8" s="27"/>
      <c r="EE8" s="27">
        <f>($E$7-(EF7+EG7+EH7))/$E$7</f>
        <v>1</v>
      </c>
      <c r="EF8" s="27"/>
      <c r="EG8" s="27"/>
      <c r="EH8" s="27"/>
      <c r="EI8" s="27">
        <f>($E$7-(EJ7+EK7+EL7))/$E$7</f>
        <v>1</v>
      </c>
      <c r="EJ8" s="27"/>
      <c r="EK8" s="27"/>
      <c r="EL8" s="27"/>
      <c r="EM8" s="27">
        <f>($E$7-(EN7+EO7+EP7))/$E$7</f>
        <v>1</v>
      </c>
      <c r="EN8" s="27"/>
      <c r="EO8" s="27"/>
      <c r="EP8" s="27"/>
      <c r="EQ8" s="27">
        <f>($E$7-(ER7+ES7+ET7))/$E$7</f>
        <v>1</v>
      </c>
      <c r="ER8" s="27"/>
      <c r="ES8" s="27"/>
      <c r="ET8" s="27"/>
      <c r="EU8" s="27">
        <f>($E$7-(EV7+EW7+EX7))/$E$7</f>
        <v>1</v>
      </c>
      <c r="EV8" s="27"/>
      <c r="EW8" s="27"/>
      <c r="EX8" s="27"/>
      <c r="EY8" s="27">
        <f>($E$7-(EZ7+FA7+FB7))/$E$7</f>
        <v>0.99999895914029535</v>
      </c>
      <c r="EZ8" s="27"/>
      <c r="FA8" s="27"/>
      <c r="FB8" s="27"/>
    </row>
    <row r="9" spans="1:159" x14ac:dyDescent="0.3">
      <c r="C9" s="14" t="s">
        <v>209</v>
      </c>
      <c r="D9" s="14" t="s">
        <v>210</v>
      </c>
      <c r="E9" s="14" t="s">
        <v>133</v>
      </c>
      <c r="F9" s="14" t="s">
        <v>54</v>
      </c>
      <c r="G9" s="14" t="s">
        <v>211</v>
      </c>
      <c r="H9" s="14" t="s">
        <v>212</v>
      </c>
      <c r="I9" s="14" t="s">
        <v>213</v>
      </c>
      <c r="J9" s="14" t="s">
        <v>214</v>
      </c>
      <c r="K9" s="14" t="s">
        <v>215</v>
      </c>
      <c r="L9" s="14" t="s">
        <v>216</v>
      </c>
      <c r="M9" s="14" t="s">
        <v>217</v>
      </c>
      <c r="N9" s="68" t="s">
        <v>218</v>
      </c>
      <c r="O9" s="68" t="s">
        <v>219</v>
      </c>
      <c r="P9" s="15" t="s">
        <v>220</v>
      </c>
      <c r="Q9" s="14" t="s">
        <v>221</v>
      </c>
      <c r="R9" s="14" t="s">
        <v>222</v>
      </c>
      <c r="S9" s="19" t="s">
        <v>223</v>
      </c>
      <c r="T9" s="19" t="s">
        <v>224</v>
      </c>
      <c r="U9" s="19" t="s">
        <v>225</v>
      </c>
      <c r="V9" s="19" t="s">
        <v>226</v>
      </c>
      <c r="W9" s="19" t="s">
        <v>227</v>
      </c>
      <c r="X9" s="19" t="s">
        <v>228</v>
      </c>
      <c r="Y9" s="19" t="s">
        <v>229</v>
      </c>
      <c r="Z9" s="19" t="s">
        <v>230</v>
      </c>
      <c r="AA9" s="19" t="s">
        <v>231</v>
      </c>
      <c r="AB9" s="19" t="s">
        <v>232</v>
      </c>
      <c r="AC9" s="19" t="s">
        <v>233</v>
      </c>
      <c r="AD9" s="19" t="s">
        <v>234</v>
      </c>
      <c r="AE9" s="19" t="s">
        <v>235</v>
      </c>
      <c r="AF9" s="19" t="s">
        <v>236</v>
      </c>
      <c r="AG9" s="19" t="s">
        <v>237</v>
      </c>
      <c r="AH9" s="19" t="s">
        <v>238</v>
      </c>
      <c r="AI9" s="19" t="s">
        <v>239</v>
      </c>
      <c r="AJ9" s="19" t="s">
        <v>240</v>
      </c>
      <c r="AK9" s="19" t="s">
        <v>241</v>
      </c>
      <c r="AL9" s="19" t="s">
        <v>242</v>
      </c>
      <c r="AM9" s="19" t="s">
        <v>243</v>
      </c>
      <c r="AN9" s="19" t="s">
        <v>244</v>
      </c>
      <c r="AO9" s="19" t="s">
        <v>245</v>
      </c>
      <c r="AP9" s="19" t="s">
        <v>246</v>
      </c>
      <c r="AQ9" s="19" t="s">
        <v>247</v>
      </c>
      <c r="AR9" s="19" t="s">
        <v>248</v>
      </c>
      <c r="AS9" s="19" t="s">
        <v>249</v>
      </c>
      <c r="AT9" s="19" t="s">
        <v>250</v>
      </c>
      <c r="AU9" s="19" t="s">
        <v>251</v>
      </c>
      <c r="AV9" s="19" t="s">
        <v>252</v>
      </c>
      <c r="AW9" s="19" t="s">
        <v>253</v>
      </c>
      <c r="AX9" s="19" t="s">
        <v>254</v>
      </c>
      <c r="AY9" s="19" t="s">
        <v>255</v>
      </c>
      <c r="AZ9" s="19" t="s">
        <v>256</v>
      </c>
      <c r="BA9" s="19" t="s">
        <v>257</v>
      </c>
      <c r="BB9" s="19" t="s">
        <v>258</v>
      </c>
      <c r="BC9" s="19" t="s">
        <v>259</v>
      </c>
      <c r="BD9" s="19" t="s">
        <v>260</v>
      </c>
      <c r="BE9" s="19" t="s">
        <v>261</v>
      </c>
      <c r="BF9" s="19" t="s">
        <v>262</v>
      </c>
      <c r="BG9" s="19" t="s">
        <v>263</v>
      </c>
      <c r="BH9" s="19" t="s">
        <v>264</v>
      </c>
      <c r="BI9" s="19" t="s">
        <v>265</v>
      </c>
      <c r="BJ9" s="19" t="s">
        <v>266</v>
      </c>
      <c r="BK9" s="19" t="s">
        <v>267</v>
      </c>
      <c r="BL9" s="19" t="s">
        <v>268</v>
      </c>
      <c r="BM9" s="19" t="s">
        <v>269</v>
      </c>
      <c r="BN9" s="19" t="s">
        <v>270</v>
      </c>
      <c r="BO9" s="19" t="s">
        <v>271</v>
      </c>
      <c r="BP9" s="19" t="s">
        <v>272</v>
      </c>
      <c r="BQ9" s="19" t="s">
        <v>273</v>
      </c>
      <c r="BR9" s="19" t="s">
        <v>274</v>
      </c>
      <c r="BS9" s="19" t="s">
        <v>275</v>
      </c>
      <c r="BT9" s="19" t="s">
        <v>276</v>
      </c>
      <c r="BU9" s="19" t="s">
        <v>277</v>
      </c>
      <c r="BV9" s="19" t="s">
        <v>278</v>
      </c>
      <c r="BW9" s="19" t="s">
        <v>279</v>
      </c>
      <c r="BX9" s="19" t="s">
        <v>280</v>
      </c>
      <c r="BY9" s="19" t="s">
        <v>281</v>
      </c>
      <c r="BZ9" s="19" t="s">
        <v>282</v>
      </c>
      <c r="CA9" s="19" t="s">
        <v>151</v>
      </c>
      <c r="CB9" s="19" t="s">
        <v>152</v>
      </c>
      <c r="CC9" s="19" t="s">
        <v>283</v>
      </c>
      <c r="CD9" s="19" t="s">
        <v>284</v>
      </c>
      <c r="CE9" s="19" t="s">
        <v>155</v>
      </c>
      <c r="CF9" s="19" t="s">
        <v>156</v>
      </c>
      <c r="CG9" s="19" t="s">
        <v>285</v>
      </c>
      <c r="CH9" s="19" t="s">
        <v>286</v>
      </c>
      <c r="CI9" s="19" t="s">
        <v>159</v>
      </c>
      <c r="CJ9" s="19" t="s">
        <v>160</v>
      </c>
      <c r="CK9" s="19" t="s">
        <v>287</v>
      </c>
      <c r="CL9" s="19" t="s">
        <v>288</v>
      </c>
      <c r="CM9" s="19" t="s">
        <v>289</v>
      </c>
      <c r="CN9" s="19" t="s">
        <v>290</v>
      </c>
      <c r="CO9" s="19" t="s">
        <v>291</v>
      </c>
      <c r="CP9" s="19" t="s">
        <v>292</v>
      </c>
      <c r="CQ9" s="19" t="s">
        <v>293</v>
      </c>
      <c r="CR9" s="19" t="s">
        <v>294</v>
      </c>
      <c r="CS9" s="19" t="s">
        <v>295</v>
      </c>
      <c r="CT9" s="19" t="s">
        <v>296</v>
      </c>
      <c r="CU9" s="19" t="s">
        <v>297</v>
      </c>
      <c r="CV9" s="19" t="s">
        <v>298</v>
      </c>
      <c r="CW9" s="19" t="s">
        <v>299</v>
      </c>
      <c r="CX9" s="19" t="s">
        <v>300</v>
      </c>
      <c r="CY9" s="19" t="s">
        <v>301</v>
      </c>
      <c r="CZ9" s="19" t="s">
        <v>302</v>
      </c>
      <c r="DA9" s="19" t="s">
        <v>303</v>
      </c>
      <c r="DB9" s="19" t="s">
        <v>304</v>
      </c>
      <c r="DC9" s="19" t="s">
        <v>305</v>
      </c>
      <c r="DD9" s="19" t="s">
        <v>306</v>
      </c>
      <c r="DE9" s="19" t="s">
        <v>307</v>
      </c>
      <c r="DF9" s="19" t="s">
        <v>308</v>
      </c>
      <c r="DG9" s="19" t="s">
        <v>309</v>
      </c>
      <c r="DH9" s="19" t="s">
        <v>310</v>
      </c>
      <c r="DI9" s="19" t="s">
        <v>311</v>
      </c>
      <c r="DJ9" s="19" t="s">
        <v>312</v>
      </c>
      <c r="DK9" s="19" t="s">
        <v>313</v>
      </c>
      <c r="DL9" s="19" t="s">
        <v>314</v>
      </c>
      <c r="DM9" s="19" t="s">
        <v>315</v>
      </c>
      <c r="DN9" s="19" t="s">
        <v>316</v>
      </c>
      <c r="DO9" s="19" t="s">
        <v>317</v>
      </c>
      <c r="DP9" s="19" t="s">
        <v>318</v>
      </c>
      <c r="DQ9" s="19" t="s">
        <v>319</v>
      </c>
      <c r="DR9" s="19" t="s">
        <v>320</v>
      </c>
      <c r="DS9" s="19" t="s">
        <v>321</v>
      </c>
      <c r="DT9" s="19" t="s">
        <v>322</v>
      </c>
      <c r="DU9" s="19" t="s">
        <v>323</v>
      </c>
      <c r="DV9" s="19" t="s">
        <v>324</v>
      </c>
      <c r="DW9" s="19" t="s">
        <v>325</v>
      </c>
      <c r="DX9" s="19" t="s">
        <v>326</v>
      </c>
      <c r="DY9" s="19" t="s">
        <v>327</v>
      </c>
      <c r="DZ9" s="19" t="s">
        <v>328</v>
      </c>
      <c r="EA9" s="19" t="s">
        <v>329</v>
      </c>
      <c r="EB9" s="19" t="s">
        <v>330</v>
      </c>
      <c r="EC9" s="19" t="s">
        <v>331</v>
      </c>
      <c r="ED9" s="19" t="s">
        <v>332</v>
      </c>
      <c r="EE9" s="19" t="s">
        <v>333</v>
      </c>
      <c r="EF9" s="19" t="s">
        <v>334</v>
      </c>
      <c r="EG9" s="19" t="s">
        <v>335</v>
      </c>
      <c r="EH9" s="19" t="s">
        <v>336</v>
      </c>
      <c r="EI9" s="19" t="s">
        <v>337</v>
      </c>
      <c r="EJ9" s="19" t="s">
        <v>338</v>
      </c>
      <c r="EK9" s="19" t="s">
        <v>339</v>
      </c>
      <c r="EL9" s="19" t="s">
        <v>340</v>
      </c>
      <c r="EM9" s="19" t="s">
        <v>341</v>
      </c>
      <c r="EN9" s="19" t="s">
        <v>342</v>
      </c>
      <c r="EO9" s="19" t="s">
        <v>343</v>
      </c>
      <c r="EP9" s="19" t="s">
        <v>344</v>
      </c>
      <c r="EQ9" s="19" t="s">
        <v>345</v>
      </c>
      <c r="ER9" s="19" t="s">
        <v>346</v>
      </c>
      <c r="ES9" s="19" t="s">
        <v>347</v>
      </c>
      <c r="ET9" s="19" t="s">
        <v>348</v>
      </c>
      <c r="EU9" s="19" t="s">
        <v>349</v>
      </c>
      <c r="EV9" s="19" t="s">
        <v>350</v>
      </c>
      <c r="EW9" s="19" t="s">
        <v>351</v>
      </c>
      <c r="EX9" s="19" t="s">
        <v>352</v>
      </c>
      <c r="EY9" s="19" t="s">
        <v>353</v>
      </c>
      <c r="EZ9" s="19" t="s">
        <v>354</v>
      </c>
      <c r="FA9" s="19" t="s">
        <v>355</v>
      </c>
      <c r="FB9" s="19" t="s">
        <v>356</v>
      </c>
    </row>
    <row r="10" spans="1:159" s="19" customFormat="1" x14ac:dyDescent="0.3">
      <c r="A10"/>
      <c r="B10"/>
      <c r="C10" s="14" t="s">
        <v>357</v>
      </c>
      <c r="D10" s="15" t="s">
        <v>360</v>
      </c>
      <c r="E10" s="16" t="s">
        <v>361</v>
      </c>
      <c r="F10" s="16" t="s">
        <v>183</v>
      </c>
      <c r="G10" s="71">
        <v>10568187</v>
      </c>
      <c r="H10" s="72">
        <v>0</v>
      </c>
      <c r="I10" s="72">
        <v>0</v>
      </c>
      <c r="J10" s="72">
        <v>0</v>
      </c>
      <c r="K10" s="72">
        <v>10568187</v>
      </c>
      <c r="L10" s="73">
        <v>0</v>
      </c>
      <c r="M10" s="73">
        <v>0</v>
      </c>
      <c r="N10" s="74">
        <v>0</v>
      </c>
      <c r="O10" s="74">
        <v>10568187</v>
      </c>
      <c r="P10" s="11">
        <v>0</v>
      </c>
      <c r="Q10" s="11">
        <v>0</v>
      </c>
      <c r="R10" s="11">
        <v>0</v>
      </c>
      <c r="S10">
        <v>10568187</v>
      </c>
      <c r="T10">
        <v>0</v>
      </c>
      <c r="U10">
        <v>0</v>
      </c>
      <c r="V10">
        <v>0</v>
      </c>
      <c r="W10">
        <v>10568187</v>
      </c>
      <c r="X10">
        <v>0</v>
      </c>
      <c r="Y10">
        <v>0</v>
      </c>
      <c r="Z10">
        <v>0</v>
      </c>
      <c r="AA10">
        <v>10568187</v>
      </c>
      <c r="AB10">
        <v>0</v>
      </c>
      <c r="AC10">
        <v>0</v>
      </c>
      <c r="AD10">
        <v>0</v>
      </c>
      <c r="AE10">
        <v>0</v>
      </c>
      <c r="AF10">
        <v>10568187</v>
      </c>
      <c r="AG10">
        <v>0</v>
      </c>
      <c r="AH10">
        <v>0</v>
      </c>
      <c r="AI10">
        <v>0</v>
      </c>
      <c r="AJ10">
        <v>10568187</v>
      </c>
      <c r="AK10">
        <v>0</v>
      </c>
      <c r="AL10">
        <v>0</v>
      </c>
      <c r="AM10">
        <v>10568176</v>
      </c>
      <c r="AN10">
        <v>11</v>
      </c>
      <c r="AO10">
        <v>0</v>
      </c>
      <c r="AP10">
        <v>0</v>
      </c>
      <c r="AQ10">
        <v>10568187</v>
      </c>
      <c r="AR10">
        <v>0</v>
      </c>
      <c r="AS10">
        <v>0</v>
      </c>
      <c r="AT10">
        <v>0</v>
      </c>
      <c r="AU10">
        <v>10568187</v>
      </c>
      <c r="AV10">
        <v>0</v>
      </c>
      <c r="AW10">
        <v>0</v>
      </c>
      <c r="AX10">
        <v>0</v>
      </c>
      <c r="AY10">
        <v>10568187</v>
      </c>
      <c r="AZ10">
        <v>0</v>
      </c>
      <c r="BA10">
        <v>0</v>
      </c>
      <c r="BB10">
        <v>0</v>
      </c>
      <c r="BC10">
        <v>10568187</v>
      </c>
      <c r="BD10">
        <v>0</v>
      </c>
      <c r="BE10">
        <v>0</v>
      </c>
      <c r="BF10">
        <v>0</v>
      </c>
      <c r="BG10">
        <v>10568187</v>
      </c>
      <c r="BH10">
        <v>0</v>
      </c>
      <c r="BI10">
        <v>0</v>
      </c>
      <c r="BJ10">
        <v>0</v>
      </c>
      <c r="BK10">
        <v>10568187</v>
      </c>
      <c r="BL10">
        <v>0</v>
      </c>
      <c r="BM10">
        <v>0</v>
      </c>
      <c r="BN10">
        <v>0</v>
      </c>
      <c r="BO10">
        <v>10568187</v>
      </c>
      <c r="BP10">
        <v>0</v>
      </c>
      <c r="BQ10">
        <v>0</v>
      </c>
      <c r="BR10">
        <v>0</v>
      </c>
      <c r="BS10">
        <v>10568187</v>
      </c>
      <c r="BT10">
        <v>0</v>
      </c>
      <c r="BU10">
        <v>0</v>
      </c>
      <c r="BV10">
        <v>0</v>
      </c>
      <c r="BW10">
        <v>10568187</v>
      </c>
      <c r="BX10">
        <v>0</v>
      </c>
      <c r="BY10">
        <v>0</v>
      </c>
      <c r="BZ10">
        <v>0</v>
      </c>
      <c r="CA10">
        <v>10568187</v>
      </c>
      <c r="CB10">
        <v>0</v>
      </c>
      <c r="CC10">
        <v>0</v>
      </c>
      <c r="CD10">
        <v>0</v>
      </c>
      <c r="CE10">
        <v>10568187</v>
      </c>
      <c r="CF10">
        <v>0</v>
      </c>
      <c r="CG10">
        <v>0</v>
      </c>
      <c r="CH10">
        <v>0</v>
      </c>
      <c r="CI10">
        <v>10568187</v>
      </c>
      <c r="CJ10">
        <v>0</v>
      </c>
      <c r="CK10">
        <v>0</v>
      </c>
      <c r="CL10">
        <v>0</v>
      </c>
      <c r="CM10">
        <v>10568187</v>
      </c>
      <c r="CN10">
        <v>0</v>
      </c>
      <c r="CO10">
        <v>0</v>
      </c>
      <c r="CP10">
        <v>0</v>
      </c>
      <c r="CQ10">
        <v>10568187</v>
      </c>
      <c r="CR10">
        <v>0</v>
      </c>
      <c r="CS10">
        <v>0</v>
      </c>
      <c r="CT10">
        <v>0</v>
      </c>
      <c r="CU10">
        <v>10568187</v>
      </c>
      <c r="CV10">
        <v>0</v>
      </c>
      <c r="CW10">
        <v>0</v>
      </c>
      <c r="CX10">
        <v>0</v>
      </c>
      <c r="CY10">
        <v>10568187</v>
      </c>
      <c r="CZ10">
        <v>0</v>
      </c>
      <c r="DA10">
        <v>0</v>
      </c>
      <c r="DB10">
        <v>0</v>
      </c>
      <c r="DC10">
        <v>10568187</v>
      </c>
      <c r="DD10">
        <v>0</v>
      </c>
      <c r="DE10">
        <v>0</v>
      </c>
      <c r="DF10">
        <v>0</v>
      </c>
      <c r="DG10">
        <v>10568187</v>
      </c>
      <c r="DH10">
        <v>0</v>
      </c>
      <c r="DI10">
        <v>0</v>
      </c>
      <c r="DJ10">
        <v>0</v>
      </c>
      <c r="DK10">
        <v>10568187</v>
      </c>
      <c r="DL10">
        <v>0</v>
      </c>
      <c r="DM10">
        <v>0</v>
      </c>
      <c r="DN10">
        <v>0</v>
      </c>
      <c r="DO10">
        <v>10568187</v>
      </c>
      <c r="DP10">
        <v>0</v>
      </c>
      <c r="DQ10">
        <v>0</v>
      </c>
      <c r="DR10">
        <v>0</v>
      </c>
      <c r="DS10">
        <v>10568144</v>
      </c>
      <c r="DT10">
        <v>43</v>
      </c>
      <c r="DU10">
        <v>0</v>
      </c>
      <c r="DV10">
        <v>0</v>
      </c>
      <c r="DW10">
        <v>10568187</v>
      </c>
      <c r="DX10">
        <v>0</v>
      </c>
      <c r="DY10">
        <v>0</v>
      </c>
      <c r="DZ10">
        <v>0</v>
      </c>
      <c r="EA10">
        <v>10568187</v>
      </c>
      <c r="EB10">
        <v>0</v>
      </c>
      <c r="EC10">
        <v>0</v>
      </c>
      <c r="ED10">
        <v>0</v>
      </c>
      <c r="EE10">
        <v>10568187</v>
      </c>
      <c r="EF10">
        <v>0</v>
      </c>
      <c r="EG10">
        <v>0</v>
      </c>
      <c r="EH10">
        <v>0</v>
      </c>
      <c r="EI10">
        <v>10568187</v>
      </c>
      <c r="EJ10">
        <v>0</v>
      </c>
      <c r="EK10">
        <v>0</v>
      </c>
      <c r="EL10">
        <v>0</v>
      </c>
      <c r="EM10">
        <v>10568187</v>
      </c>
      <c r="EN10">
        <v>0</v>
      </c>
      <c r="EO10">
        <v>0</v>
      </c>
      <c r="EP10">
        <v>0</v>
      </c>
      <c r="EQ10">
        <v>10568187</v>
      </c>
      <c r="ER10">
        <v>0</v>
      </c>
      <c r="ES10">
        <v>0</v>
      </c>
      <c r="ET10">
        <v>0</v>
      </c>
      <c r="EU10">
        <v>10568187</v>
      </c>
      <c r="EV10">
        <v>0</v>
      </c>
      <c r="EW10">
        <v>0</v>
      </c>
      <c r="EX10">
        <v>0</v>
      </c>
      <c r="EY10">
        <v>10568176</v>
      </c>
      <c r="EZ10">
        <v>11</v>
      </c>
      <c r="FA10">
        <v>0</v>
      </c>
      <c r="FB10">
        <v>0</v>
      </c>
    </row>
    <row r="11" spans="1:159" s="19" customFormat="1" x14ac:dyDescent="0.3">
      <c r="C11" s="14"/>
      <c r="D11" s="15"/>
      <c r="E11" s="16"/>
      <c r="F11" s="16"/>
      <c r="G11" s="16"/>
      <c r="H11" s="17"/>
      <c r="I11" s="17"/>
      <c r="J11" s="17"/>
      <c r="K11" s="17"/>
      <c r="L11" s="17"/>
      <c r="M11" s="17"/>
      <c r="N11" s="12"/>
      <c r="O11" s="12"/>
      <c r="P11" s="14"/>
      <c r="Q11" s="14"/>
      <c r="R11" s="14"/>
      <c r="AN11"/>
      <c r="AO11"/>
      <c r="AP11"/>
      <c r="AQ11"/>
      <c r="AR11"/>
      <c r="AS11"/>
      <c r="AT11"/>
    </row>
    <row r="12" spans="1:159" x14ac:dyDescent="0.3">
      <c r="C12" s="3" t="s">
        <v>113</v>
      </c>
      <c r="D12" s="3"/>
      <c r="E12" s="3"/>
      <c r="F12" s="3"/>
      <c r="G12" s="3"/>
      <c r="H12" s="3"/>
      <c r="I12" s="3"/>
      <c r="J12" s="3"/>
      <c r="K12" s="3"/>
      <c r="L12" s="3"/>
      <c r="M12" s="3"/>
      <c r="N12" s="3"/>
      <c r="O12" s="3"/>
      <c r="P12" s="3"/>
    </row>
    <row r="14" spans="1:159" x14ac:dyDescent="0.3">
      <c r="C14" s="20" t="s">
        <v>114</v>
      </c>
    </row>
    <row r="15" spans="1:159" ht="14.4" customHeight="1" x14ac:dyDescent="0.3"/>
    <row r="16" spans="1:159" x14ac:dyDescent="0.3">
      <c r="C16" s="21" t="s">
        <v>116</v>
      </c>
    </row>
    <row r="17" spans="3:16" ht="14.4" customHeight="1" x14ac:dyDescent="0.3">
      <c r="D17" s="114" t="s">
        <v>362</v>
      </c>
      <c r="E17" s="114"/>
      <c r="F17" s="114"/>
      <c r="G17" s="114"/>
      <c r="H17" s="114"/>
      <c r="I17" s="114"/>
      <c r="J17" s="114"/>
      <c r="K17" s="114"/>
      <c r="L17" s="114"/>
      <c r="M17" s="114"/>
      <c r="N17" s="114"/>
      <c r="O17" s="22"/>
      <c r="P17" s="22"/>
    </row>
    <row r="18" spans="3:16" x14ac:dyDescent="0.3">
      <c r="C18" s="21" t="s">
        <v>118</v>
      </c>
    </row>
    <row r="19" spans="3:16" x14ac:dyDescent="0.3">
      <c r="D19" s="115"/>
      <c r="E19" s="115"/>
      <c r="F19" s="115"/>
      <c r="G19" s="115"/>
      <c r="H19" s="115"/>
      <c r="I19" s="115"/>
      <c r="J19" s="115"/>
      <c r="K19" s="115"/>
      <c r="L19" s="115"/>
      <c r="M19" s="115"/>
      <c r="N19" s="115"/>
      <c r="O19" s="115"/>
      <c r="P19" s="115"/>
    </row>
    <row r="20" spans="3:16" x14ac:dyDescent="0.3">
      <c r="C20" s="21" t="s">
        <v>119</v>
      </c>
    </row>
    <row r="21" spans="3:16" x14ac:dyDescent="0.3">
      <c r="D21" s="115"/>
      <c r="E21" s="115"/>
      <c r="F21" s="115"/>
      <c r="G21" s="115"/>
      <c r="H21" s="115"/>
      <c r="I21" s="115"/>
      <c r="J21" s="115"/>
      <c r="K21" s="115"/>
      <c r="L21" s="115"/>
      <c r="M21" s="115"/>
      <c r="N21" s="115"/>
      <c r="O21" s="115"/>
      <c r="P21" s="115"/>
    </row>
    <row r="22" spans="3:16" x14ac:dyDescent="0.3">
      <c r="D22" s="22"/>
      <c r="E22" s="22"/>
      <c r="F22" s="22"/>
      <c r="G22" s="22"/>
      <c r="H22" s="22"/>
      <c r="I22" s="22"/>
      <c r="J22" s="22"/>
      <c r="K22" s="22"/>
      <c r="L22" s="22"/>
      <c r="M22" s="22"/>
      <c r="N22" s="22"/>
      <c r="O22" s="22"/>
      <c r="P22" s="22"/>
    </row>
    <row r="23" spans="3:16" x14ac:dyDescent="0.3">
      <c r="C23" s="3" t="s">
        <v>120</v>
      </c>
      <c r="D23" s="23"/>
      <c r="E23" s="23"/>
      <c r="F23" s="3"/>
      <c r="G23" s="3"/>
      <c r="H23" s="3"/>
      <c r="I23" s="3"/>
      <c r="J23" s="3"/>
      <c r="K23" s="3"/>
      <c r="L23" s="3"/>
      <c r="M23" s="3"/>
      <c r="N23" s="3"/>
      <c r="O23" s="3"/>
      <c r="P23" s="3"/>
    </row>
    <row r="25" spans="3:16" x14ac:dyDescent="0.3">
      <c r="C25" s="35" t="s">
        <v>244</v>
      </c>
      <c r="D25" s="7">
        <v>11</v>
      </c>
      <c r="E25" t="s">
        <v>363</v>
      </c>
    </row>
    <row r="26" spans="3:16" x14ac:dyDescent="0.3">
      <c r="C26" s="19" t="s">
        <v>152</v>
      </c>
      <c r="D26" s="7">
        <v>453058</v>
      </c>
      <c r="E26" t="s">
        <v>364</v>
      </c>
    </row>
    <row r="27" spans="3:16" x14ac:dyDescent="0.3">
      <c r="C27" s="19" t="s">
        <v>283</v>
      </c>
      <c r="D27" s="7">
        <v>189</v>
      </c>
      <c r="E27" t="s">
        <v>364</v>
      </c>
    </row>
    <row r="28" spans="3:16" x14ac:dyDescent="0.3">
      <c r="C28" s="19" t="s">
        <v>160</v>
      </c>
      <c r="D28" s="7">
        <v>448720</v>
      </c>
      <c r="E28" t="s">
        <v>364</v>
      </c>
    </row>
    <row r="29" spans="3:16" x14ac:dyDescent="0.3">
      <c r="C29" s="19" t="s">
        <v>287</v>
      </c>
      <c r="D29" s="7">
        <v>188</v>
      </c>
      <c r="E29" t="s">
        <v>364</v>
      </c>
    </row>
    <row r="30" spans="3:16" x14ac:dyDescent="0.3">
      <c r="C30" s="19" t="s">
        <v>322</v>
      </c>
      <c r="D30" s="7">
        <v>43</v>
      </c>
      <c r="E30" t="s">
        <v>365</v>
      </c>
    </row>
    <row r="31" spans="3:16" x14ac:dyDescent="0.3">
      <c r="C31" s="19" t="s">
        <v>354</v>
      </c>
      <c r="D31" s="7">
        <v>11</v>
      </c>
      <c r="E31" t="s">
        <v>363</v>
      </c>
    </row>
    <row r="33" spans="2:25" x14ac:dyDescent="0.3">
      <c r="C33" s="3" t="s">
        <v>121</v>
      </c>
      <c r="D33" s="3"/>
      <c r="E33" s="3"/>
      <c r="F33" s="3"/>
      <c r="G33" s="3"/>
      <c r="H33" s="3"/>
      <c r="I33" s="3"/>
      <c r="J33" s="3"/>
      <c r="K33" s="3"/>
      <c r="L33" s="3"/>
      <c r="M33" s="3"/>
      <c r="N33" s="3"/>
      <c r="O33" s="3"/>
      <c r="P33" s="3"/>
    </row>
    <row r="39" spans="2:25" x14ac:dyDescent="0.3">
      <c r="B39" s="1" t="s">
        <v>366</v>
      </c>
      <c r="C39" s="1"/>
      <c r="D39" s="1"/>
      <c r="E39" s="1"/>
      <c r="F39" s="1"/>
      <c r="G39" s="1"/>
      <c r="H39" s="1"/>
      <c r="I39" s="1"/>
      <c r="J39" s="1"/>
      <c r="K39" s="1"/>
      <c r="L39" s="1"/>
      <c r="M39" s="1"/>
      <c r="N39" s="1"/>
      <c r="O39" s="1"/>
      <c r="P39" s="1"/>
    </row>
    <row r="41" spans="2:25" x14ac:dyDescent="0.3">
      <c r="C41" s="3" t="s">
        <v>52</v>
      </c>
      <c r="D41" s="3"/>
      <c r="E41" s="3"/>
      <c r="F41" s="3"/>
      <c r="G41" s="3"/>
      <c r="H41" s="3"/>
      <c r="I41" s="3"/>
      <c r="J41" s="3"/>
      <c r="K41" s="3"/>
      <c r="L41" s="3"/>
      <c r="M41" s="3"/>
      <c r="N41" s="3"/>
      <c r="O41" s="3"/>
      <c r="P41" s="3"/>
    </row>
    <row r="42" spans="2:25" x14ac:dyDescent="0.3">
      <c r="C42" s="32" t="s">
        <v>54</v>
      </c>
      <c r="D42" s="32" t="s">
        <v>367</v>
      </c>
      <c r="E42" s="32" t="s">
        <v>133</v>
      </c>
      <c r="F42" s="32" t="s">
        <v>368</v>
      </c>
      <c r="G42" s="32" t="s">
        <v>369</v>
      </c>
      <c r="H42" s="32" t="s">
        <v>370</v>
      </c>
      <c r="I42" s="32" t="s">
        <v>371</v>
      </c>
      <c r="J42" s="32" t="s">
        <v>372</v>
      </c>
      <c r="K42" s="32" t="s">
        <v>373</v>
      </c>
      <c r="L42" s="32" t="s">
        <v>374</v>
      </c>
      <c r="M42" s="32" t="s">
        <v>375</v>
      </c>
      <c r="N42" s="32" t="s">
        <v>376</v>
      </c>
      <c r="O42" s="32" t="s">
        <v>377</v>
      </c>
      <c r="P42" s="32" t="s">
        <v>378</v>
      </c>
      <c r="Q42" s="32" t="s">
        <v>379</v>
      </c>
      <c r="R42" s="32" t="s">
        <v>380</v>
      </c>
      <c r="S42" s="32" t="s">
        <v>381</v>
      </c>
      <c r="T42" s="32" t="s">
        <v>382</v>
      </c>
      <c r="U42" s="32" t="s">
        <v>383</v>
      </c>
      <c r="V42" s="32" t="s">
        <v>384</v>
      </c>
      <c r="W42" s="32" t="s">
        <v>385</v>
      </c>
      <c r="X42" s="32" t="s">
        <v>386</v>
      </c>
      <c r="Y42" s="32" t="s">
        <v>387</v>
      </c>
    </row>
    <row r="43" spans="2:25" x14ac:dyDescent="0.3">
      <c r="C43" s="32" t="s">
        <v>183</v>
      </c>
      <c r="D43" s="32" t="s">
        <v>388</v>
      </c>
      <c r="E43" s="4">
        <v>10568187</v>
      </c>
      <c r="F43" s="4">
        <v>10567237</v>
      </c>
      <c r="G43" s="4">
        <v>0</v>
      </c>
      <c r="H43" s="4">
        <v>950</v>
      </c>
      <c r="I43" s="4">
        <v>0</v>
      </c>
      <c r="J43" s="4">
        <v>0</v>
      </c>
      <c r="K43" s="4">
        <v>10567237</v>
      </c>
      <c r="L43" s="4">
        <v>0</v>
      </c>
      <c r="M43" s="4">
        <v>950</v>
      </c>
      <c r="N43" s="4">
        <v>0</v>
      </c>
      <c r="O43" s="4">
        <v>0</v>
      </c>
      <c r="P43" s="4">
        <v>9001679</v>
      </c>
      <c r="Q43" s="4">
        <v>0</v>
      </c>
      <c r="R43" s="4">
        <v>1566508</v>
      </c>
      <c r="S43" s="4">
        <v>0</v>
      </c>
      <c r="T43" s="4">
        <v>0</v>
      </c>
      <c r="U43" s="4">
        <v>10567218</v>
      </c>
      <c r="V43" s="4">
        <v>0</v>
      </c>
      <c r="W43" s="4">
        <v>969</v>
      </c>
      <c r="X43" s="4">
        <v>0</v>
      </c>
      <c r="Y43" s="4">
        <v>0</v>
      </c>
    </row>
    <row r="44" spans="2:25" x14ac:dyDescent="0.3">
      <c r="F44" s="51">
        <f>($E$43-(G43+I43+J43))/$E$43</f>
        <v>1</v>
      </c>
      <c r="K44" s="51">
        <f>($E$43-(L43+N43+O43))/$E$43</f>
        <v>1</v>
      </c>
      <c r="P44" s="51">
        <f>($E$43-(Q43+S43+T43))/$E$43</f>
        <v>1</v>
      </c>
      <c r="U44" s="51">
        <f>($E$43-(V43+X43+Y43))/$E$43</f>
        <v>1</v>
      </c>
    </row>
    <row r="45" spans="2:25" x14ac:dyDescent="0.3">
      <c r="C45" t="s">
        <v>54</v>
      </c>
      <c r="D45" t="s">
        <v>367</v>
      </c>
      <c r="E45" t="s">
        <v>133</v>
      </c>
      <c r="F45" t="s">
        <v>368</v>
      </c>
      <c r="G45" t="s">
        <v>369</v>
      </c>
      <c r="H45" t="s">
        <v>370</v>
      </c>
      <c r="I45" t="s">
        <v>371</v>
      </c>
      <c r="J45" t="s">
        <v>372</v>
      </c>
      <c r="K45" t="s">
        <v>373</v>
      </c>
      <c r="L45" t="s">
        <v>374</v>
      </c>
      <c r="M45" t="s">
        <v>375</v>
      </c>
      <c r="N45" t="s">
        <v>376</v>
      </c>
      <c r="O45" t="s">
        <v>377</v>
      </c>
      <c r="P45" t="s">
        <v>378</v>
      </c>
      <c r="Q45" t="s">
        <v>379</v>
      </c>
      <c r="R45" t="s">
        <v>380</v>
      </c>
      <c r="S45" t="s">
        <v>381</v>
      </c>
      <c r="T45" t="s">
        <v>382</v>
      </c>
      <c r="U45" t="s">
        <v>383</v>
      </c>
      <c r="V45" t="s">
        <v>384</v>
      </c>
      <c r="W45" t="s">
        <v>385</v>
      </c>
      <c r="X45" t="s">
        <v>386</v>
      </c>
      <c r="Y45" t="s">
        <v>387</v>
      </c>
    </row>
    <row r="46" spans="2:25" x14ac:dyDescent="0.3">
      <c r="C46" s="49">
        <v>45657</v>
      </c>
      <c r="D46" s="106">
        <v>45867.404977951388</v>
      </c>
      <c r="E46">
        <v>10568187</v>
      </c>
      <c r="F46">
        <v>10567237</v>
      </c>
      <c r="G46">
        <v>0</v>
      </c>
      <c r="H46">
        <v>950</v>
      </c>
      <c r="I46">
        <v>0</v>
      </c>
      <c r="J46">
        <v>0</v>
      </c>
      <c r="K46">
        <v>10567237</v>
      </c>
      <c r="L46">
        <v>0</v>
      </c>
      <c r="M46">
        <v>950</v>
      </c>
      <c r="N46">
        <v>0</v>
      </c>
      <c r="O46">
        <v>0</v>
      </c>
      <c r="P46">
        <v>9001679</v>
      </c>
      <c r="Q46">
        <v>0</v>
      </c>
      <c r="R46">
        <v>1566508</v>
      </c>
      <c r="S46">
        <v>0</v>
      </c>
      <c r="T46">
        <v>0</v>
      </c>
      <c r="U46">
        <v>10567218</v>
      </c>
      <c r="V46">
        <v>0</v>
      </c>
      <c r="W46">
        <v>969</v>
      </c>
      <c r="X46">
        <v>0</v>
      </c>
      <c r="Y46">
        <v>0</v>
      </c>
    </row>
    <row r="48" spans="2:25" x14ac:dyDescent="0.3">
      <c r="C48" s="3" t="s">
        <v>113</v>
      </c>
      <c r="D48" s="3"/>
      <c r="E48" s="3"/>
      <c r="F48" s="3"/>
      <c r="G48" s="3"/>
      <c r="H48" s="3"/>
      <c r="I48" s="3"/>
      <c r="J48" s="3"/>
      <c r="K48" s="3"/>
      <c r="L48" s="3"/>
      <c r="M48" s="3"/>
      <c r="N48" s="3"/>
      <c r="O48" s="3"/>
      <c r="P48" s="3"/>
    </row>
    <row r="50" spans="3:16" x14ac:dyDescent="0.3">
      <c r="C50" s="20" t="s">
        <v>114</v>
      </c>
    </row>
    <row r="51" spans="3:16" ht="14.4" customHeight="1" x14ac:dyDescent="0.3"/>
    <row r="52" spans="3:16" x14ac:dyDescent="0.3">
      <c r="C52" s="21" t="s">
        <v>116</v>
      </c>
    </row>
    <row r="53" spans="3:16" ht="14.4" customHeight="1" x14ac:dyDescent="0.3">
      <c r="D53" s="114" t="s">
        <v>389</v>
      </c>
      <c r="E53" s="114"/>
      <c r="F53" s="114"/>
      <c r="G53" s="114"/>
      <c r="H53" s="114"/>
      <c r="I53" s="114"/>
      <c r="J53" s="114"/>
      <c r="K53" s="114"/>
      <c r="L53" s="114"/>
      <c r="M53" s="114"/>
      <c r="N53" s="114"/>
      <c r="O53" s="22"/>
      <c r="P53" s="22"/>
    </row>
    <row r="54" spans="3:16" x14ac:dyDescent="0.3">
      <c r="C54" s="21" t="s">
        <v>118</v>
      </c>
    </row>
    <row r="55" spans="3:16" x14ac:dyDescent="0.3">
      <c r="D55" s="115"/>
      <c r="E55" s="115"/>
      <c r="F55" s="115"/>
      <c r="G55" s="115"/>
      <c r="H55" s="115"/>
      <c r="I55" s="115"/>
      <c r="J55" s="115"/>
      <c r="K55" s="115"/>
      <c r="L55" s="115"/>
      <c r="M55" s="115"/>
      <c r="N55" s="115"/>
      <c r="O55" s="115"/>
      <c r="P55" s="115"/>
    </row>
    <row r="56" spans="3:16" x14ac:dyDescent="0.3">
      <c r="C56" s="21" t="s">
        <v>119</v>
      </c>
    </row>
    <row r="57" spans="3:16" x14ac:dyDescent="0.3">
      <c r="D57" s="115"/>
      <c r="E57" s="115"/>
      <c r="F57" s="115"/>
      <c r="G57" s="115"/>
      <c r="H57" s="115"/>
      <c r="I57" s="115"/>
      <c r="J57" s="115"/>
      <c r="K57" s="115"/>
      <c r="L57" s="115"/>
      <c r="M57" s="115"/>
      <c r="N57" s="115"/>
      <c r="O57" s="115"/>
      <c r="P57" s="115"/>
    </row>
    <row r="178" ht="44.4" customHeight="1" x14ac:dyDescent="0.3"/>
    <row r="180" ht="14.4" customHeight="1" x14ac:dyDescent="0.3"/>
    <row r="192" ht="14.4" customHeight="1" x14ac:dyDescent="0.3"/>
  </sheetData>
  <autoFilter ref="F2:F215" xr:uid="{5A34EA24-FC19-4E63-8F13-FF4449BE5FB9}"/>
  <mergeCells count="6">
    <mergeCell ref="D53:N53"/>
    <mergeCell ref="D55:P55"/>
    <mergeCell ref="D57:P57"/>
    <mergeCell ref="D17:N17"/>
    <mergeCell ref="D19:P19"/>
    <mergeCell ref="D21:P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64E69-F483-4617-B284-D41815A56D74}">
  <dimension ref="A2:FW192"/>
  <sheetViews>
    <sheetView tabSelected="1" topLeftCell="A22" zoomScaleNormal="100" workbookViewId="0">
      <selection activeCell="C40" sqref="C40"/>
    </sheetView>
  </sheetViews>
  <sheetFormatPr defaultRowHeight="14.4" x14ac:dyDescent="0.3"/>
  <cols>
    <col min="3" max="3" width="26.5546875" bestFit="1" customWidth="1"/>
    <col min="4" max="4" width="27.44140625" bestFit="1" customWidth="1"/>
    <col min="5" max="5" width="32.5546875" customWidth="1"/>
    <col min="6" max="6" width="20.5546875" customWidth="1"/>
    <col min="7" max="7" width="18.44140625" bestFit="1" customWidth="1"/>
    <col min="8" max="8" width="19.88671875" bestFit="1" customWidth="1"/>
    <col min="9" max="9" width="9.88671875" bestFit="1" customWidth="1"/>
    <col min="10" max="10" width="22.88671875" customWidth="1"/>
    <col min="11" max="11" width="20.109375" bestFit="1" customWidth="1"/>
    <col min="12" max="12" width="28.44140625" bestFit="1" customWidth="1"/>
    <col min="13" max="13" width="15.109375" bestFit="1" customWidth="1"/>
    <col min="14" max="14" width="15.5546875" bestFit="1" customWidth="1"/>
    <col min="15" max="15" width="15.109375" bestFit="1" customWidth="1"/>
    <col min="16" max="16" width="11.109375" bestFit="1" customWidth="1"/>
    <col min="17" max="17" width="7.44140625" bestFit="1" customWidth="1"/>
    <col min="18" max="18" width="9.5546875" bestFit="1" customWidth="1"/>
  </cols>
  <sheetData>
    <row r="2" spans="1:179" x14ac:dyDescent="0.3">
      <c r="B2" s="1" t="s">
        <v>405</v>
      </c>
      <c r="C2" s="1"/>
      <c r="D2" s="1"/>
      <c r="E2" s="1"/>
      <c r="F2" s="1"/>
      <c r="G2" s="1"/>
      <c r="H2" s="1"/>
      <c r="I2" s="1"/>
      <c r="J2" s="1"/>
      <c r="K2" s="1"/>
      <c r="L2" s="1"/>
      <c r="M2" s="1"/>
      <c r="N2" s="1"/>
      <c r="O2" s="1"/>
      <c r="P2" s="1"/>
    </row>
    <row r="3" spans="1:179" x14ac:dyDescent="0.3">
      <c r="B3" s="2"/>
    </row>
    <row r="4" spans="1:179" x14ac:dyDescent="0.3">
      <c r="B4" s="2"/>
    </row>
    <row r="5" spans="1:179" x14ac:dyDescent="0.3">
      <c r="C5" s="3" t="s">
        <v>52</v>
      </c>
      <c r="D5" s="3"/>
      <c r="E5" s="3"/>
      <c r="F5" s="3"/>
      <c r="G5" s="3"/>
      <c r="H5" s="3"/>
      <c r="I5" s="3"/>
      <c r="J5" s="3"/>
      <c r="K5" s="3"/>
      <c r="L5" s="3"/>
      <c r="M5" s="3"/>
      <c r="N5" s="3"/>
      <c r="O5" s="3"/>
      <c r="P5" s="3"/>
    </row>
    <row r="6" spans="1:179" x14ac:dyDescent="0.3">
      <c r="C6" s="32" t="s">
        <v>133</v>
      </c>
      <c r="D6" s="32" t="s">
        <v>54</v>
      </c>
      <c r="E6" s="32" t="s">
        <v>367</v>
      </c>
      <c r="F6" s="32" t="s">
        <v>367</v>
      </c>
      <c r="G6" s="32" t="s">
        <v>215</v>
      </c>
      <c r="H6" s="32" t="s">
        <v>216</v>
      </c>
      <c r="I6" s="32" t="s">
        <v>406</v>
      </c>
      <c r="J6" s="32" t="s">
        <v>407</v>
      </c>
      <c r="K6" s="32" t="s">
        <v>219</v>
      </c>
      <c r="L6" s="32" t="s">
        <v>220</v>
      </c>
      <c r="M6" s="32" t="s">
        <v>408</v>
      </c>
      <c r="N6" s="32" t="s">
        <v>409</v>
      </c>
      <c r="O6" s="32" t="s">
        <v>410</v>
      </c>
      <c r="P6" s="32" t="s">
        <v>411</v>
      </c>
      <c r="Q6" s="32" t="s">
        <v>412</v>
      </c>
      <c r="R6" s="32" t="s">
        <v>413</v>
      </c>
      <c r="S6" s="19" t="s">
        <v>414</v>
      </c>
      <c r="T6" s="19" t="s">
        <v>415</v>
      </c>
      <c r="U6" s="19" t="s">
        <v>416</v>
      </c>
      <c r="V6" s="19" t="s">
        <v>417</v>
      </c>
      <c r="W6" s="19" t="s">
        <v>418</v>
      </c>
      <c r="X6" s="19" t="s">
        <v>419</v>
      </c>
      <c r="Y6" s="19" t="s">
        <v>420</v>
      </c>
      <c r="Z6" s="19" t="s">
        <v>421</v>
      </c>
      <c r="AA6" s="19" t="s">
        <v>422</v>
      </c>
      <c r="AB6" s="19" t="s">
        <v>423</v>
      </c>
      <c r="AC6" s="19" t="s">
        <v>424</v>
      </c>
      <c r="AD6" s="19" t="s">
        <v>425</v>
      </c>
      <c r="AE6" s="19" t="s">
        <v>426</v>
      </c>
      <c r="AF6" s="19" t="s">
        <v>427</v>
      </c>
      <c r="AG6" s="19" t="s">
        <v>428</v>
      </c>
      <c r="AH6" s="19" t="s">
        <v>429</v>
      </c>
      <c r="AI6" s="19" t="s">
        <v>430</v>
      </c>
      <c r="AJ6" s="19" t="s">
        <v>431</v>
      </c>
      <c r="AK6" s="19" t="s">
        <v>432</v>
      </c>
      <c r="AL6" s="19" t="s">
        <v>433</v>
      </c>
      <c r="AM6" s="19" t="s">
        <v>434</v>
      </c>
      <c r="AN6" s="19" t="s">
        <v>435</v>
      </c>
      <c r="AO6" s="19" t="s">
        <v>436</v>
      </c>
      <c r="AP6" s="19" t="s">
        <v>437</v>
      </c>
      <c r="AQ6" s="19" t="s">
        <v>438</v>
      </c>
      <c r="AR6" s="19" t="s">
        <v>439</v>
      </c>
      <c r="AS6" s="19" t="s">
        <v>440</v>
      </c>
      <c r="AT6" s="19" t="s">
        <v>441</v>
      </c>
      <c r="AU6" s="19" t="s">
        <v>442</v>
      </c>
      <c r="AV6" s="19" t="s">
        <v>443</v>
      </c>
      <c r="AW6" s="19" t="s">
        <v>444</v>
      </c>
      <c r="AX6" s="19" t="s">
        <v>445</v>
      </c>
      <c r="AY6" s="19" t="s">
        <v>446</v>
      </c>
      <c r="AZ6" s="19" t="s">
        <v>447</v>
      </c>
      <c r="BA6" s="19" t="s">
        <v>448</v>
      </c>
      <c r="BB6" s="19" t="s">
        <v>449</v>
      </c>
      <c r="BC6" s="19" t="s">
        <v>450</v>
      </c>
      <c r="BD6" s="19" t="s">
        <v>451</v>
      </c>
      <c r="BE6" s="19" t="s">
        <v>452</v>
      </c>
      <c r="BF6" s="19" t="s">
        <v>453</v>
      </c>
      <c r="BG6" s="19" t="s">
        <v>454</v>
      </c>
      <c r="BH6" s="19" t="s">
        <v>455</v>
      </c>
      <c r="BI6" s="19" t="s">
        <v>456</v>
      </c>
      <c r="BJ6" s="19" t="s">
        <v>457</v>
      </c>
      <c r="BK6" s="19" t="s">
        <v>458</v>
      </c>
      <c r="BL6" s="19" t="s">
        <v>459</v>
      </c>
      <c r="BM6" s="19" t="s">
        <v>460</v>
      </c>
      <c r="BN6" s="19" t="s">
        <v>461</v>
      </c>
      <c r="BO6" s="19" t="s">
        <v>462</v>
      </c>
      <c r="BP6" s="19" t="s">
        <v>463</v>
      </c>
      <c r="BQ6" s="19" t="s">
        <v>464</v>
      </c>
      <c r="BR6" s="19" t="s">
        <v>465</v>
      </c>
      <c r="BS6" s="19" t="s">
        <v>466</v>
      </c>
      <c r="BT6" s="19" t="s">
        <v>467</v>
      </c>
      <c r="BU6" s="19" t="s">
        <v>468</v>
      </c>
      <c r="BV6" s="19" t="s">
        <v>469</v>
      </c>
      <c r="BW6" s="19" t="s">
        <v>470</v>
      </c>
      <c r="BX6" s="19" t="s">
        <v>471</v>
      </c>
      <c r="BY6" s="19" t="s">
        <v>472</v>
      </c>
      <c r="BZ6" s="19" t="s">
        <v>473</v>
      </c>
      <c r="CA6" s="19" t="s">
        <v>474</v>
      </c>
      <c r="CB6" s="19" t="s">
        <v>475</v>
      </c>
      <c r="CC6" s="19" t="s">
        <v>476</v>
      </c>
      <c r="CD6" s="19" t="s">
        <v>477</v>
      </c>
      <c r="CE6" s="19" t="s">
        <v>478</v>
      </c>
      <c r="CF6" s="19" t="s">
        <v>479</v>
      </c>
      <c r="CG6" s="19" t="s">
        <v>480</v>
      </c>
      <c r="CH6" s="19" t="s">
        <v>481</v>
      </c>
      <c r="CI6" s="19" t="s">
        <v>482</v>
      </c>
      <c r="CJ6" s="19" t="s">
        <v>483</v>
      </c>
      <c r="CK6" s="19" t="s">
        <v>484</v>
      </c>
      <c r="CL6" s="19" t="s">
        <v>485</v>
      </c>
      <c r="CM6" s="19" t="s">
        <v>486</v>
      </c>
      <c r="CN6" s="19" t="s">
        <v>487</v>
      </c>
      <c r="CO6" s="19" t="s">
        <v>488</v>
      </c>
      <c r="CP6" s="19" t="s">
        <v>489</v>
      </c>
      <c r="CQ6" s="19" t="s">
        <v>490</v>
      </c>
      <c r="CR6" s="19" t="s">
        <v>491</v>
      </c>
      <c r="CS6" s="19" t="s">
        <v>492</v>
      </c>
      <c r="CT6" s="19" t="s">
        <v>493</v>
      </c>
      <c r="CU6" s="19" t="s">
        <v>494</v>
      </c>
      <c r="CV6" s="19" t="s">
        <v>495</v>
      </c>
      <c r="CW6" s="19" t="s">
        <v>496</v>
      </c>
      <c r="CX6" s="19" t="s">
        <v>497</v>
      </c>
      <c r="CY6" s="19" t="s">
        <v>498</v>
      </c>
      <c r="CZ6" s="19" t="s">
        <v>499</v>
      </c>
      <c r="DA6" s="19" t="s">
        <v>500</v>
      </c>
      <c r="DB6" s="19" t="s">
        <v>501</v>
      </c>
      <c r="DC6" s="19" t="s">
        <v>502</v>
      </c>
      <c r="DD6" s="19" t="s">
        <v>503</v>
      </c>
      <c r="DE6" s="19" t="s">
        <v>504</v>
      </c>
      <c r="DF6" s="19" t="s">
        <v>505</v>
      </c>
      <c r="DG6" s="19" t="s">
        <v>506</v>
      </c>
      <c r="DH6" s="19" t="s">
        <v>507</v>
      </c>
      <c r="DI6" s="19" t="s">
        <v>508</v>
      </c>
      <c r="DJ6" s="19" t="s">
        <v>509</v>
      </c>
      <c r="DK6" s="19" t="s">
        <v>510</v>
      </c>
      <c r="DL6" s="19" t="s">
        <v>511</v>
      </c>
      <c r="DM6" s="19" t="s">
        <v>512</v>
      </c>
      <c r="DN6" s="19" t="s">
        <v>513</v>
      </c>
      <c r="DO6" s="19" t="s">
        <v>514</v>
      </c>
      <c r="DP6" s="19" t="s">
        <v>515</v>
      </c>
      <c r="DQ6" s="19" t="s">
        <v>516</v>
      </c>
      <c r="DR6" s="19" t="s">
        <v>517</v>
      </c>
      <c r="DS6" s="19" t="s">
        <v>518</v>
      </c>
      <c r="DT6" s="19" t="s">
        <v>519</v>
      </c>
      <c r="DU6" s="19" t="s">
        <v>520</v>
      </c>
      <c r="DV6" s="19" t="s">
        <v>521</v>
      </c>
      <c r="DW6" s="19" t="s">
        <v>522</v>
      </c>
      <c r="DX6" s="19" t="s">
        <v>523</v>
      </c>
      <c r="DY6" s="19" t="s">
        <v>524</v>
      </c>
      <c r="DZ6" s="19" t="s">
        <v>525</v>
      </c>
      <c r="EA6" s="19" t="s">
        <v>526</v>
      </c>
      <c r="EB6" s="19" t="s">
        <v>527</v>
      </c>
      <c r="EC6" s="19" t="s">
        <v>528</v>
      </c>
      <c r="ED6" s="19" t="s">
        <v>529</v>
      </c>
      <c r="EE6" s="19" t="s">
        <v>530</v>
      </c>
      <c r="EF6" s="19" t="s">
        <v>531</v>
      </c>
      <c r="EG6" s="19" t="s">
        <v>532</v>
      </c>
      <c r="EH6" s="19" t="s">
        <v>533</v>
      </c>
      <c r="EI6" s="19" t="s">
        <v>534</v>
      </c>
      <c r="EJ6" s="19" t="s">
        <v>535</v>
      </c>
      <c r="EK6" s="19" t="s">
        <v>536</v>
      </c>
      <c r="EL6" s="19" t="s">
        <v>537</v>
      </c>
      <c r="EM6" s="19" t="s">
        <v>538</v>
      </c>
      <c r="EN6" s="19" t="s">
        <v>539</v>
      </c>
      <c r="EO6" s="19" t="s">
        <v>540</v>
      </c>
      <c r="EP6" s="19" t="s">
        <v>541</v>
      </c>
      <c r="EQ6" s="19" t="s">
        <v>542</v>
      </c>
      <c r="ER6" s="19" t="s">
        <v>543</v>
      </c>
      <c r="ES6" s="19" t="s">
        <v>544</v>
      </c>
      <c r="ET6" s="19" t="s">
        <v>545</v>
      </c>
      <c r="EU6" s="19" t="s">
        <v>546</v>
      </c>
      <c r="EV6" s="19" t="s">
        <v>547</v>
      </c>
      <c r="EW6" s="19" t="s">
        <v>548</v>
      </c>
      <c r="EX6" s="19" t="s">
        <v>549</v>
      </c>
      <c r="EY6" s="19" t="s">
        <v>550</v>
      </c>
      <c r="EZ6" s="19" t="s">
        <v>551</v>
      </c>
      <c r="FA6" s="19" t="s">
        <v>552</v>
      </c>
      <c r="FB6" s="19" t="s">
        <v>553</v>
      </c>
      <c r="FC6" s="19" t="s">
        <v>554</v>
      </c>
      <c r="FD6" s="19" t="s">
        <v>555</v>
      </c>
      <c r="FE6" s="19" t="s">
        <v>556</v>
      </c>
      <c r="FF6" s="19" t="s">
        <v>557</v>
      </c>
      <c r="FG6" s="19" t="s">
        <v>558</v>
      </c>
      <c r="FH6" s="19" t="s">
        <v>559</v>
      </c>
      <c r="FI6" s="19" t="s">
        <v>560</v>
      </c>
      <c r="FJ6" s="19" t="s">
        <v>561</v>
      </c>
      <c r="FK6" s="19" t="s">
        <v>562</v>
      </c>
      <c r="FL6" s="19" t="s">
        <v>563</v>
      </c>
      <c r="FM6" s="19" t="s">
        <v>564</v>
      </c>
      <c r="FN6" s="19" t="s">
        <v>565</v>
      </c>
      <c r="FO6" s="19" t="s">
        <v>235</v>
      </c>
      <c r="FP6" s="19" t="s">
        <v>236</v>
      </c>
      <c r="FQ6" s="19" t="s">
        <v>566</v>
      </c>
      <c r="FR6" s="19" t="s">
        <v>567</v>
      </c>
      <c r="FS6" s="19" t="s">
        <v>239</v>
      </c>
      <c r="FT6" s="19" t="s">
        <v>240</v>
      </c>
      <c r="FU6" s="19" t="s">
        <v>568</v>
      </c>
      <c r="FV6" s="19" t="s">
        <v>569</v>
      </c>
      <c r="FW6" s="19"/>
    </row>
    <row r="7" spans="1:179" x14ac:dyDescent="0.3">
      <c r="C7" s="4">
        <v>10568187</v>
      </c>
      <c r="D7" s="32" t="s">
        <v>183</v>
      </c>
      <c r="E7" s="32" t="s">
        <v>570</v>
      </c>
      <c r="F7" s="32" t="s">
        <v>571</v>
      </c>
      <c r="G7" s="4">
        <v>10568187</v>
      </c>
      <c r="H7" s="4">
        <v>0</v>
      </c>
      <c r="I7" s="4">
        <v>0</v>
      </c>
      <c r="J7" s="4">
        <v>0</v>
      </c>
      <c r="K7" s="4">
        <v>10568187</v>
      </c>
      <c r="L7" s="4">
        <v>0</v>
      </c>
      <c r="M7" s="4">
        <v>0</v>
      </c>
      <c r="N7" s="4">
        <v>0</v>
      </c>
      <c r="O7" s="4">
        <v>10568176</v>
      </c>
      <c r="P7" s="34">
        <v>11</v>
      </c>
      <c r="Q7" s="4">
        <v>0</v>
      </c>
      <c r="R7" s="4">
        <v>0</v>
      </c>
      <c r="S7">
        <v>10568173</v>
      </c>
      <c r="T7" s="24">
        <v>14</v>
      </c>
      <c r="U7">
        <v>0</v>
      </c>
      <c r="V7">
        <v>0</v>
      </c>
      <c r="W7">
        <v>10568176</v>
      </c>
      <c r="X7" s="58">
        <v>11</v>
      </c>
      <c r="Y7">
        <v>0</v>
      </c>
      <c r="Z7">
        <v>0</v>
      </c>
      <c r="AA7">
        <v>10568176</v>
      </c>
      <c r="AB7" s="58">
        <v>11</v>
      </c>
      <c r="AC7">
        <v>0</v>
      </c>
      <c r="AD7">
        <v>0</v>
      </c>
      <c r="AE7">
        <v>10568176</v>
      </c>
      <c r="AF7" s="58">
        <v>11</v>
      </c>
      <c r="AG7">
        <v>0</v>
      </c>
      <c r="AH7">
        <v>0</v>
      </c>
      <c r="AI7">
        <v>10568176</v>
      </c>
      <c r="AJ7" s="58">
        <v>11</v>
      </c>
      <c r="AK7">
        <v>0</v>
      </c>
      <c r="AL7">
        <v>0</v>
      </c>
      <c r="AM7">
        <v>10568176</v>
      </c>
      <c r="AN7" s="58">
        <v>11</v>
      </c>
      <c r="AO7">
        <v>0</v>
      </c>
      <c r="AP7">
        <v>0</v>
      </c>
      <c r="AQ7">
        <v>10568176</v>
      </c>
      <c r="AR7" s="58">
        <v>11</v>
      </c>
      <c r="AS7">
        <v>0</v>
      </c>
      <c r="AT7">
        <v>0</v>
      </c>
      <c r="AU7">
        <v>10568176</v>
      </c>
      <c r="AV7" s="58">
        <v>11</v>
      </c>
      <c r="AW7">
        <v>0</v>
      </c>
      <c r="AX7">
        <v>0</v>
      </c>
      <c r="AY7">
        <v>10568176</v>
      </c>
      <c r="AZ7" s="58">
        <v>0</v>
      </c>
      <c r="BA7" s="58">
        <v>6</v>
      </c>
      <c r="BB7" s="58">
        <v>5</v>
      </c>
      <c r="BC7">
        <v>10568176</v>
      </c>
      <c r="BD7" s="58">
        <v>0</v>
      </c>
      <c r="BE7" s="58">
        <v>6</v>
      </c>
      <c r="BF7" s="58">
        <v>5</v>
      </c>
      <c r="BG7">
        <v>1583544</v>
      </c>
      <c r="BH7" s="58">
        <v>8984622</v>
      </c>
      <c r="BI7" s="58">
        <v>2</v>
      </c>
      <c r="BJ7" s="58">
        <v>19</v>
      </c>
      <c r="BK7">
        <v>10568187</v>
      </c>
      <c r="BL7">
        <v>0</v>
      </c>
      <c r="BM7">
        <v>0</v>
      </c>
      <c r="BN7">
        <v>0</v>
      </c>
      <c r="BO7">
        <v>10525025</v>
      </c>
      <c r="BP7" s="58">
        <v>43162</v>
      </c>
      <c r="BQ7">
        <v>0</v>
      </c>
      <c r="BR7">
        <v>0</v>
      </c>
      <c r="BS7">
        <v>6884994</v>
      </c>
      <c r="BT7" s="58">
        <v>3683193</v>
      </c>
      <c r="BU7">
        <v>0</v>
      </c>
      <c r="BV7">
        <v>0</v>
      </c>
      <c r="BW7">
        <v>1532255</v>
      </c>
      <c r="BX7" s="58">
        <v>9035932</v>
      </c>
      <c r="BY7">
        <v>0</v>
      </c>
      <c r="BZ7">
        <v>0</v>
      </c>
      <c r="CA7">
        <v>1539530</v>
      </c>
      <c r="CB7" s="58">
        <v>9028657</v>
      </c>
      <c r="CC7">
        <v>0</v>
      </c>
      <c r="CD7">
        <v>0</v>
      </c>
      <c r="CE7">
        <v>1539530</v>
      </c>
      <c r="CF7" s="58">
        <v>9028657</v>
      </c>
      <c r="CG7">
        <v>0</v>
      </c>
      <c r="CH7">
        <v>0</v>
      </c>
      <c r="CI7">
        <v>10568187</v>
      </c>
      <c r="CJ7">
        <v>0</v>
      </c>
      <c r="CK7">
        <v>0</v>
      </c>
      <c r="CL7">
        <v>0</v>
      </c>
      <c r="CM7">
        <v>10568187</v>
      </c>
      <c r="CN7">
        <v>0</v>
      </c>
      <c r="CO7">
        <v>0</v>
      </c>
      <c r="CP7">
        <v>0</v>
      </c>
      <c r="CQ7">
        <v>10568187</v>
      </c>
      <c r="CR7">
        <v>0</v>
      </c>
      <c r="CS7">
        <v>0</v>
      </c>
      <c r="CT7">
        <v>0</v>
      </c>
      <c r="CU7">
        <v>10568187</v>
      </c>
      <c r="CV7">
        <v>0</v>
      </c>
      <c r="CW7">
        <v>0</v>
      </c>
      <c r="CX7">
        <v>0</v>
      </c>
      <c r="CY7">
        <v>10568187</v>
      </c>
      <c r="CZ7">
        <v>0</v>
      </c>
      <c r="DA7">
        <v>0</v>
      </c>
      <c r="DB7">
        <v>0</v>
      </c>
      <c r="DC7">
        <v>10568187</v>
      </c>
      <c r="DD7">
        <v>0</v>
      </c>
      <c r="DE7">
        <v>0</v>
      </c>
      <c r="DF7">
        <v>0</v>
      </c>
      <c r="DG7">
        <v>10568187</v>
      </c>
      <c r="DH7">
        <v>0</v>
      </c>
      <c r="DI7">
        <v>0</v>
      </c>
      <c r="DJ7">
        <v>0</v>
      </c>
      <c r="DK7">
        <v>10568187</v>
      </c>
      <c r="DL7">
        <v>0</v>
      </c>
      <c r="DM7">
        <v>0</v>
      </c>
      <c r="DN7">
        <v>0</v>
      </c>
      <c r="DO7">
        <v>10568187</v>
      </c>
      <c r="DP7">
        <v>0</v>
      </c>
      <c r="DQ7">
        <v>0</v>
      </c>
      <c r="DR7">
        <v>0</v>
      </c>
      <c r="DS7">
        <v>10568187</v>
      </c>
      <c r="DT7">
        <v>0</v>
      </c>
      <c r="DU7">
        <v>0</v>
      </c>
      <c r="DV7">
        <v>0</v>
      </c>
      <c r="DW7">
        <v>10568187</v>
      </c>
      <c r="DX7">
        <v>0</v>
      </c>
      <c r="DY7">
        <v>0</v>
      </c>
      <c r="DZ7">
        <v>0</v>
      </c>
      <c r="EA7">
        <v>10568187</v>
      </c>
      <c r="EB7">
        <v>0</v>
      </c>
      <c r="EC7">
        <v>0</v>
      </c>
      <c r="ED7">
        <v>0</v>
      </c>
      <c r="EE7">
        <v>10568176</v>
      </c>
      <c r="EF7" s="58">
        <v>11</v>
      </c>
      <c r="EG7">
        <v>0</v>
      </c>
      <c r="EH7">
        <v>0</v>
      </c>
      <c r="EI7">
        <v>10568176</v>
      </c>
      <c r="EJ7" s="58">
        <v>11</v>
      </c>
      <c r="EK7">
        <v>0</v>
      </c>
      <c r="EL7">
        <v>0</v>
      </c>
      <c r="EM7">
        <v>10568187</v>
      </c>
      <c r="EN7">
        <v>0</v>
      </c>
      <c r="EO7">
        <v>0</v>
      </c>
      <c r="EP7">
        <v>0</v>
      </c>
      <c r="EQ7">
        <v>10568187</v>
      </c>
      <c r="ER7">
        <v>0</v>
      </c>
      <c r="ES7">
        <v>0</v>
      </c>
      <c r="ET7">
        <v>0</v>
      </c>
      <c r="EU7">
        <v>10568187</v>
      </c>
      <c r="EV7">
        <v>0</v>
      </c>
      <c r="EW7">
        <v>0</v>
      </c>
      <c r="EX7">
        <v>0</v>
      </c>
      <c r="EY7">
        <v>10568187</v>
      </c>
      <c r="EZ7">
        <v>0</v>
      </c>
      <c r="FA7">
        <v>0</v>
      </c>
      <c r="FB7">
        <v>0</v>
      </c>
      <c r="FC7">
        <v>10568176</v>
      </c>
      <c r="FD7" s="58">
        <v>11</v>
      </c>
      <c r="FE7">
        <v>0</v>
      </c>
      <c r="FF7">
        <v>0</v>
      </c>
      <c r="FG7">
        <v>10568176</v>
      </c>
      <c r="FH7" s="58">
        <v>11</v>
      </c>
      <c r="FI7">
        <v>0</v>
      </c>
      <c r="FJ7">
        <v>0</v>
      </c>
      <c r="FK7">
        <v>10568187</v>
      </c>
      <c r="FL7">
        <v>0</v>
      </c>
      <c r="FM7">
        <v>0</v>
      </c>
      <c r="FN7">
        <v>0</v>
      </c>
      <c r="FO7">
        <v>0</v>
      </c>
      <c r="FP7" s="39">
        <v>10568187</v>
      </c>
      <c r="FQ7">
        <v>0</v>
      </c>
      <c r="FR7">
        <v>0</v>
      </c>
      <c r="FS7">
        <v>0</v>
      </c>
      <c r="FT7" s="39">
        <v>10568187</v>
      </c>
      <c r="FU7">
        <v>0</v>
      </c>
      <c r="FV7">
        <v>0</v>
      </c>
      <c r="FW7" s="19"/>
    </row>
    <row r="8" spans="1:179" x14ac:dyDescent="0.3">
      <c r="B8" t="s">
        <v>111</v>
      </c>
      <c r="C8" s="4"/>
      <c r="D8" s="4"/>
      <c r="E8" s="4"/>
      <c r="F8" s="28"/>
      <c r="G8" s="28">
        <f>($C$7-(H7+I7+J7))/$C$7</f>
        <v>1</v>
      </c>
      <c r="H8" s="28"/>
      <c r="I8" s="28"/>
      <c r="J8" s="28"/>
      <c r="K8" s="28">
        <f>($C$7-(L7+M7+N7))/$C$7</f>
        <v>1</v>
      </c>
      <c r="L8" s="28"/>
      <c r="M8" s="28"/>
      <c r="N8" s="28"/>
      <c r="O8" s="28">
        <f>($C$7-(P7+Q7+R7))/$C$7</f>
        <v>0.99999895914029535</v>
      </c>
      <c r="P8" s="28"/>
      <c r="Q8" s="28"/>
      <c r="R8" s="28"/>
      <c r="S8" s="28">
        <f>($C$7-(T7+U7+V7))/$C$7</f>
        <v>0.99999867526946673</v>
      </c>
      <c r="T8" s="28"/>
      <c r="U8" s="28"/>
      <c r="V8" s="28"/>
      <c r="W8" s="28">
        <f>($C$7-(X7+Y7+Z7))/$C$7</f>
        <v>0.99999895914029535</v>
      </c>
      <c r="X8" s="28"/>
      <c r="Y8" s="28"/>
      <c r="Z8" s="28"/>
      <c r="AA8" s="28">
        <f>($C$7-(AB7+AC7+AD7))/$C$7</f>
        <v>0.99999895914029535</v>
      </c>
      <c r="AB8" s="28"/>
      <c r="AC8" s="28"/>
      <c r="AD8" s="28"/>
      <c r="AE8" s="28">
        <f>($C$7-(AF7+AG7+AH7))/$C$7</f>
        <v>0.99999895914029535</v>
      </c>
      <c r="AF8" s="28"/>
      <c r="AG8" s="28"/>
      <c r="AH8" s="28"/>
      <c r="AI8" s="28">
        <f>($C$7-(AJ7+AK7+AL7))/$C$7</f>
        <v>0.99999895914029535</v>
      </c>
      <c r="AJ8" s="28"/>
      <c r="AK8" s="28"/>
      <c r="AL8" s="28"/>
      <c r="AM8" s="28">
        <f>($C$7-(AN7+AO7+AP7))/$C$7</f>
        <v>0.99999895914029535</v>
      </c>
      <c r="AN8" s="28"/>
      <c r="AO8" s="28"/>
      <c r="AP8" s="28"/>
      <c r="AQ8" s="28">
        <f>($C$7-(AR7+AS7+AT7))/$C$7</f>
        <v>0.99999895914029535</v>
      </c>
      <c r="AR8" s="28"/>
      <c r="AS8" s="28"/>
      <c r="AT8" s="28"/>
      <c r="AU8" s="28">
        <f>($C$7-(AV7+AW7+AX7))/$C$7</f>
        <v>0.99999895914029535</v>
      </c>
      <c r="AV8" s="28"/>
      <c r="AW8" s="28"/>
      <c r="AX8" s="28"/>
      <c r="AY8" s="28">
        <f>($C$7-(AZ7+BA7+BB7))/$C$7</f>
        <v>0.99999895914029535</v>
      </c>
      <c r="AZ8" s="28"/>
      <c r="BA8" s="28"/>
      <c r="BB8" s="28"/>
      <c r="BC8" s="28">
        <f>($C$7-(BD7+BE7+BF7))/$C$7</f>
        <v>0.99999895914029535</v>
      </c>
      <c r="BD8" s="28"/>
      <c r="BE8" s="28"/>
      <c r="BF8" s="28"/>
      <c r="BG8" s="28">
        <f>($C$7-(BH7+BI7+BJ7))/$C$7</f>
        <v>0.14984064911039141</v>
      </c>
      <c r="BH8" s="28"/>
      <c r="BI8" s="28"/>
      <c r="BJ8" s="28"/>
      <c r="BK8" s="28">
        <f>($C$7-(BL7+BM7+BN7))/$C$7</f>
        <v>1</v>
      </c>
      <c r="BL8" s="28"/>
      <c r="BM8" s="28"/>
      <c r="BN8" s="28"/>
      <c r="BO8" s="28">
        <f>($C$7-(BP7+BQ7+BR7))/$C$7</f>
        <v>0.99591585576598896</v>
      </c>
      <c r="BP8" s="28"/>
      <c r="BQ8" s="28"/>
      <c r="BR8" s="28"/>
      <c r="BS8" s="28">
        <f>($C$7-(BT7+BU7+BV7))/$C$7</f>
        <v>0.65148298378898861</v>
      </c>
      <c r="BT8" s="28"/>
      <c r="BU8" s="28"/>
      <c r="BV8" s="28"/>
      <c r="BW8" s="28">
        <f>($C$7-(BX7+BY7+BZ7))/$C$7</f>
        <v>0.14498749880182854</v>
      </c>
      <c r="BX8" s="28"/>
      <c r="BY8" s="28"/>
      <c r="BZ8" s="28"/>
      <c r="CA8" s="28">
        <f>($C$7-(CB7+CC7+CD7))/$C$7</f>
        <v>0.14567588556107117</v>
      </c>
      <c r="CB8" s="28"/>
      <c r="CC8" s="28"/>
      <c r="CD8" s="28"/>
      <c r="CE8" s="28">
        <f>($C$7-(CF7+CG7+CH7))/$C$7</f>
        <v>0.14567588556107117</v>
      </c>
      <c r="CF8" s="28"/>
      <c r="CG8" s="28"/>
      <c r="CH8" s="28"/>
      <c r="CI8" s="28">
        <f>($C$7-(CJ7+CK7+CL7))/$C$7</f>
        <v>1</v>
      </c>
      <c r="CJ8" s="28"/>
      <c r="CK8" s="28"/>
      <c r="CL8" s="28"/>
      <c r="CM8" s="28">
        <f>($C$7-(CN7+CO7+CP7))/$C$7</f>
        <v>1</v>
      </c>
      <c r="CN8" s="28"/>
      <c r="CO8" s="28"/>
      <c r="CP8" s="28"/>
      <c r="CQ8" s="28">
        <f>($C$7-(CR7+CS7+CT7))/$C$7</f>
        <v>1</v>
      </c>
      <c r="CR8" s="28"/>
      <c r="CS8" s="28"/>
      <c r="CT8" s="28"/>
      <c r="CU8" s="28">
        <f>($C$7-(CV7+CW7+CX7))/$C$7</f>
        <v>1</v>
      </c>
      <c r="CV8" s="28"/>
      <c r="CW8" s="28"/>
      <c r="CX8" s="28"/>
      <c r="CY8" s="28">
        <f>($C$7-(CZ7+DA7+DB7))/$C$7</f>
        <v>1</v>
      </c>
      <c r="CZ8" s="28"/>
      <c r="DA8" s="28"/>
      <c r="DB8" s="28"/>
      <c r="DC8" s="28">
        <f>($C$7-(DD7+DE7+DF7))/$C$7</f>
        <v>1</v>
      </c>
      <c r="DD8" s="28"/>
      <c r="DE8" s="28"/>
      <c r="DF8" s="28"/>
      <c r="DG8" s="28">
        <f>($C$7-(DH7+DI7+DJ7))/$C$7</f>
        <v>1</v>
      </c>
      <c r="DH8" s="28"/>
      <c r="DI8" s="28"/>
      <c r="DJ8" s="28"/>
      <c r="DK8" s="28">
        <f>($C$7-(DL7+DM7+DN7))/$C$7</f>
        <v>1</v>
      </c>
      <c r="DL8" s="28"/>
      <c r="DM8" s="28"/>
      <c r="DN8" s="28"/>
      <c r="DO8" s="28">
        <f>($C$7-(DP7+DQ7+DR7))/$C$7</f>
        <v>1</v>
      </c>
      <c r="DP8" s="28"/>
      <c r="DQ8" s="28"/>
      <c r="DR8" s="28"/>
      <c r="DS8" s="28">
        <f>($C$7-(DT7+DU7+DV7))/$C$7</f>
        <v>1</v>
      </c>
      <c r="DT8" s="28"/>
      <c r="DU8" s="28"/>
      <c r="DV8" s="28"/>
      <c r="DW8" s="28">
        <f>($C$7-(DX7+DY7+DZ7))/$C$7</f>
        <v>1</v>
      </c>
      <c r="DX8" s="28"/>
      <c r="DY8" s="28"/>
      <c r="DZ8" s="28"/>
      <c r="EA8" s="28">
        <f>($C$7-(EB7+EC7+ED7))/$C$7</f>
        <v>1</v>
      </c>
      <c r="EB8" s="28"/>
      <c r="EC8" s="28"/>
      <c r="ED8" s="28"/>
      <c r="EE8" s="28">
        <f>($C$7-(EF7+EG7+EH7))/$C$7</f>
        <v>0.99999895914029535</v>
      </c>
      <c r="EF8" s="28"/>
      <c r="EG8" s="28"/>
      <c r="EH8" s="28"/>
      <c r="EI8" s="28">
        <f>($C$7-(EJ7+EK7+EL7))/$C$7</f>
        <v>0.99999895914029535</v>
      </c>
      <c r="EJ8" s="28"/>
      <c r="EK8" s="28"/>
      <c r="EL8" s="28"/>
      <c r="EM8" s="28">
        <f>($C$7-(EN7+EO7+EP7))/$C$7</f>
        <v>1</v>
      </c>
      <c r="EN8" s="28"/>
      <c r="EO8" s="28"/>
      <c r="EP8" s="28"/>
      <c r="EQ8" s="28">
        <f>($C$7-(ER7+ES7+ET7))/$C$7</f>
        <v>1</v>
      </c>
      <c r="ER8" s="28"/>
      <c r="ES8" s="28"/>
      <c r="ET8" s="28"/>
      <c r="EU8" s="28">
        <f>($C$7-(EV7+EW7+EX7))/$C$7</f>
        <v>1</v>
      </c>
      <c r="EV8" s="28"/>
      <c r="EW8" s="28"/>
      <c r="EX8" s="28"/>
      <c r="EY8" s="28">
        <f>($C$7-(EZ7+FA7+FB7))/$C$7</f>
        <v>1</v>
      </c>
      <c r="EZ8" s="28"/>
      <c r="FA8" s="28"/>
      <c r="FB8" s="28"/>
      <c r="FC8" s="28">
        <f>($C$7-(FD7+FE7+FF7))/$C$7</f>
        <v>0.99999895914029535</v>
      </c>
      <c r="FD8" s="28"/>
      <c r="FE8" s="28"/>
      <c r="FF8" s="28"/>
      <c r="FG8" s="28">
        <f>($C$7-(FH7+FI7+FJ7))/$C$7</f>
        <v>0.99999895914029535</v>
      </c>
      <c r="FH8" s="28"/>
      <c r="FI8" s="28"/>
      <c r="FJ8" s="28"/>
      <c r="FK8" s="28">
        <f>($C$7-(FL7+FM7+FN7))/$C$7</f>
        <v>1</v>
      </c>
      <c r="FL8" s="28"/>
      <c r="FM8" s="28"/>
      <c r="FN8" s="28"/>
      <c r="FO8" s="28">
        <f>($C$7-(FP7+FQ7+FR7))/$C$7</f>
        <v>0</v>
      </c>
      <c r="FP8" s="28"/>
      <c r="FQ8" s="28"/>
      <c r="FR8" s="28"/>
      <c r="FS8" s="28">
        <f>($C$7-(FT7+FU7+FV7))/$C$7</f>
        <v>0</v>
      </c>
      <c r="FT8" s="28"/>
      <c r="FU8" s="28"/>
      <c r="FV8" s="28"/>
    </row>
    <row r="9" spans="1:179" x14ac:dyDescent="0.3">
      <c r="C9" s="8" t="s">
        <v>133</v>
      </c>
      <c r="D9" s="8" t="s">
        <v>54</v>
      </c>
      <c r="E9" s="8" t="s">
        <v>367</v>
      </c>
      <c r="F9" s="8" t="s">
        <v>367</v>
      </c>
      <c r="G9" s="8" t="s">
        <v>215</v>
      </c>
      <c r="H9" s="8" t="s">
        <v>216</v>
      </c>
      <c r="I9" s="8" t="s">
        <v>406</v>
      </c>
      <c r="J9" s="8" t="s">
        <v>407</v>
      </c>
      <c r="K9" s="8" t="s">
        <v>219</v>
      </c>
      <c r="L9" s="8" t="s">
        <v>220</v>
      </c>
      <c r="M9" s="8" t="s">
        <v>408</v>
      </c>
      <c r="N9" s="9" t="s">
        <v>409</v>
      </c>
      <c r="O9" s="9" t="s">
        <v>410</v>
      </c>
      <c r="P9" s="10" t="s">
        <v>411</v>
      </c>
      <c r="Q9" s="8" t="s">
        <v>412</v>
      </c>
      <c r="R9" s="8" t="s">
        <v>413</v>
      </c>
      <c r="S9" t="s">
        <v>414</v>
      </c>
      <c r="T9" t="s">
        <v>415</v>
      </c>
      <c r="U9" t="s">
        <v>416</v>
      </c>
      <c r="V9" t="s">
        <v>417</v>
      </c>
      <c r="W9" t="s">
        <v>418</v>
      </c>
      <c r="X9" t="s">
        <v>419</v>
      </c>
      <c r="Y9" t="s">
        <v>420</v>
      </c>
      <c r="Z9" t="s">
        <v>421</v>
      </c>
      <c r="AA9" t="s">
        <v>422</v>
      </c>
      <c r="AB9" t="s">
        <v>423</v>
      </c>
      <c r="AC9" t="s">
        <v>424</v>
      </c>
      <c r="AD9" t="s">
        <v>425</v>
      </c>
      <c r="AE9" t="s">
        <v>426</v>
      </c>
      <c r="AF9" t="s">
        <v>427</v>
      </c>
      <c r="AG9" t="s">
        <v>428</v>
      </c>
      <c r="AH9" t="s">
        <v>429</v>
      </c>
      <c r="AI9" t="s">
        <v>430</v>
      </c>
      <c r="AJ9" t="s">
        <v>431</v>
      </c>
      <c r="AK9" t="s">
        <v>432</v>
      </c>
      <c r="AL9" t="s">
        <v>433</v>
      </c>
      <c r="AM9" t="s">
        <v>434</v>
      </c>
      <c r="AN9" t="s">
        <v>435</v>
      </c>
      <c r="AO9" t="s">
        <v>436</v>
      </c>
      <c r="AP9" t="s">
        <v>437</v>
      </c>
      <c r="AQ9" t="s">
        <v>438</v>
      </c>
      <c r="AR9" t="s">
        <v>439</v>
      </c>
      <c r="AS9" t="s">
        <v>440</v>
      </c>
      <c r="AT9" t="s">
        <v>441</v>
      </c>
      <c r="AU9" t="s">
        <v>442</v>
      </c>
      <c r="AV9" t="s">
        <v>443</v>
      </c>
      <c r="AW9" t="s">
        <v>444</v>
      </c>
      <c r="AX9" t="s">
        <v>445</v>
      </c>
      <c r="AY9" t="s">
        <v>446</v>
      </c>
      <c r="AZ9" t="s">
        <v>447</v>
      </c>
      <c r="BA9" t="s">
        <v>448</v>
      </c>
      <c r="BB9" t="s">
        <v>449</v>
      </c>
      <c r="BC9" t="s">
        <v>450</v>
      </c>
      <c r="BD9" t="s">
        <v>451</v>
      </c>
      <c r="BE9" t="s">
        <v>452</v>
      </c>
      <c r="BF9" t="s">
        <v>453</v>
      </c>
      <c r="BG9" t="s">
        <v>454</v>
      </c>
      <c r="BH9" t="s">
        <v>455</v>
      </c>
      <c r="BI9" t="s">
        <v>456</v>
      </c>
      <c r="BJ9" t="s">
        <v>457</v>
      </c>
      <c r="BK9" t="s">
        <v>458</v>
      </c>
      <c r="BL9" t="s">
        <v>459</v>
      </c>
      <c r="BM9" t="s">
        <v>460</v>
      </c>
      <c r="BN9" t="s">
        <v>461</v>
      </c>
      <c r="BO9" t="s">
        <v>462</v>
      </c>
      <c r="BP9" t="s">
        <v>463</v>
      </c>
      <c r="BQ9" t="s">
        <v>464</v>
      </c>
      <c r="BR9" t="s">
        <v>465</v>
      </c>
      <c r="BS9" t="s">
        <v>466</v>
      </c>
      <c r="BT9" t="s">
        <v>467</v>
      </c>
      <c r="BU9" t="s">
        <v>468</v>
      </c>
      <c r="BV9" t="s">
        <v>469</v>
      </c>
      <c r="BW9" t="s">
        <v>470</v>
      </c>
      <c r="BX9" t="s">
        <v>471</v>
      </c>
      <c r="BY9" t="s">
        <v>472</v>
      </c>
      <c r="BZ9" t="s">
        <v>473</v>
      </c>
      <c r="CA9" t="s">
        <v>474</v>
      </c>
      <c r="CB9" t="s">
        <v>475</v>
      </c>
      <c r="CC9" t="s">
        <v>476</v>
      </c>
      <c r="CD9" t="s">
        <v>477</v>
      </c>
      <c r="CE9" t="s">
        <v>478</v>
      </c>
      <c r="CF9" t="s">
        <v>479</v>
      </c>
      <c r="CG9" t="s">
        <v>480</v>
      </c>
      <c r="CH9" t="s">
        <v>481</v>
      </c>
      <c r="CI9" t="s">
        <v>482</v>
      </c>
      <c r="CJ9" t="s">
        <v>483</v>
      </c>
      <c r="CK9" t="s">
        <v>484</v>
      </c>
      <c r="CL9" t="s">
        <v>485</v>
      </c>
      <c r="CM9" t="s">
        <v>486</v>
      </c>
      <c r="CN9" t="s">
        <v>487</v>
      </c>
      <c r="CO9" t="s">
        <v>488</v>
      </c>
      <c r="CP9" t="s">
        <v>489</v>
      </c>
      <c r="CQ9" t="s">
        <v>490</v>
      </c>
      <c r="CR9" t="s">
        <v>491</v>
      </c>
      <c r="CS9" t="s">
        <v>492</v>
      </c>
      <c r="CT9" t="s">
        <v>493</v>
      </c>
      <c r="CU9" t="s">
        <v>494</v>
      </c>
      <c r="CV9" t="s">
        <v>495</v>
      </c>
      <c r="CW9" t="s">
        <v>496</v>
      </c>
      <c r="CX9" t="s">
        <v>497</v>
      </c>
      <c r="CY9" t="s">
        <v>498</v>
      </c>
      <c r="CZ9" t="s">
        <v>499</v>
      </c>
      <c r="DA9" t="s">
        <v>500</v>
      </c>
      <c r="DB9" t="s">
        <v>501</v>
      </c>
      <c r="DC9" t="s">
        <v>502</v>
      </c>
      <c r="DD9" t="s">
        <v>503</v>
      </c>
      <c r="DE9" t="s">
        <v>504</v>
      </c>
      <c r="DF9" t="s">
        <v>505</v>
      </c>
      <c r="DG9" t="s">
        <v>506</v>
      </c>
      <c r="DH9" t="s">
        <v>507</v>
      </c>
      <c r="DI9" t="s">
        <v>508</v>
      </c>
      <c r="DJ9" t="s">
        <v>509</v>
      </c>
      <c r="DK9" t="s">
        <v>510</v>
      </c>
      <c r="DL9" t="s">
        <v>511</v>
      </c>
      <c r="DM9" t="s">
        <v>512</v>
      </c>
      <c r="DN9" t="s">
        <v>513</v>
      </c>
      <c r="DO9" t="s">
        <v>514</v>
      </c>
      <c r="DP9" t="s">
        <v>515</v>
      </c>
      <c r="DQ9" t="s">
        <v>516</v>
      </c>
      <c r="DR9" t="s">
        <v>517</v>
      </c>
      <c r="DS9" t="s">
        <v>518</v>
      </c>
      <c r="DT9" t="s">
        <v>519</v>
      </c>
      <c r="DU9" t="s">
        <v>520</v>
      </c>
      <c r="DV9" t="s">
        <v>521</v>
      </c>
      <c r="DW9" t="s">
        <v>522</v>
      </c>
      <c r="DX9" t="s">
        <v>523</v>
      </c>
      <c r="DY9" t="s">
        <v>524</v>
      </c>
      <c r="DZ9" t="s">
        <v>525</v>
      </c>
      <c r="EA9" t="s">
        <v>526</v>
      </c>
      <c r="EB9" t="s">
        <v>527</v>
      </c>
      <c r="EC9" t="s">
        <v>528</v>
      </c>
      <c r="ED9" t="s">
        <v>529</v>
      </c>
      <c r="EE9" t="s">
        <v>530</v>
      </c>
      <c r="EF9" t="s">
        <v>531</v>
      </c>
      <c r="EG9" t="s">
        <v>532</v>
      </c>
      <c r="EH9" t="s">
        <v>533</v>
      </c>
      <c r="EI9" t="s">
        <v>534</v>
      </c>
      <c r="EJ9" t="s">
        <v>535</v>
      </c>
      <c r="EK9" t="s">
        <v>536</v>
      </c>
      <c r="EL9" t="s">
        <v>537</v>
      </c>
      <c r="EM9" t="s">
        <v>538</v>
      </c>
      <c r="EN9" t="s">
        <v>539</v>
      </c>
      <c r="EO9" t="s">
        <v>540</v>
      </c>
      <c r="EP9" t="s">
        <v>541</v>
      </c>
      <c r="EQ9" t="s">
        <v>542</v>
      </c>
      <c r="ER9" t="s">
        <v>543</v>
      </c>
      <c r="ES9" t="s">
        <v>544</v>
      </c>
      <c r="ET9" t="s">
        <v>545</v>
      </c>
      <c r="EU9" t="s">
        <v>546</v>
      </c>
      <c r="EV9" t="s">
        <v>547</v>
      </c>
      <c r="EW9" t="s">
        <v>548</v>
      </c>
      <c r="EX9" t="s">
        <v>549</v>
      </c>
      <c r="EY9" t="s">
        <v>550</v>
      </c>
      <c r="EZ9" t="s">
        <v>551</v>
      </c>
      <c r="FA9" t="s">
        <v>552</v>
      </c>
      <c r="FB9" t="s">
        <v>553</v>
      </c>
      <c r="FC9" t="s">
        <v>554</v>
      </c>
      <c r="FD9" t="s">
        <v>555</v>
      </c>
      <c r="FE9" t="s">
        <v>556</v>
      </c>
      <c r="FF9" t="s">
        <v>557</v>
      </c>
      <c r="FG9" t="s">
        <v>558</v>
      </c>
      <c r="FH9" t="s">
        <v>559</v>
      </c>
      <c r="FI9" t="s">
        <v>560</v>
      </c>
      <c r="FJ9" t="s">
        <v>561</v>
      </c>
      <c r="FK9" t="s">
        <v>562</v>
      </c>
      <c r="FL9" t="s">
        <v>563</v>
      </c>
      <c r="FM9" t="s">
        <v>564</v>
      </c>
      <c r="FN9" t="s">
        <v>565</v>
      </c>
      <c r="FO9" t="s">
        <v>235</v>
      </c>
      <c r="FP9" t="s">
        <v>236</v>
      </c>
      <c r="FQ9" t="s">
        <v>566</v>
      </c>
      <c r="FR9" t="s">
        <v>567</v>
      </c>
      <c r="FS9" t="s">
        <v>239</v>
      </c>
      <c r="FT9" t="s">
        <v>240</v>
      </c>
      <c r="FU9" t="s">
        <v>568</v>
      </c>
      <c r="FV9" t="s">
        <v>569</v>
      </c>
    </row>
    <row r="10" spans="1:179" s="19" customFormat="1" x14ac:dyDescent="0.3">
      <c r="A10"/>
      <c r="B10"/>
      <c r="C10" s="14" t="s">
        <v>361</v>
      </c>
      <c r="D10" s="15" t="s">
        <v>183</v>
      </c>
      <c r="E10" s="16" t="s">
        <v>570</v>
      </c>
      <c r="F10" s="16" t="s">
        <v>572</v>
      </c>
      <c r="G10" s="16" t="s">
        <v>361</v>
      </c>
      <c r="H10" s="91">
        <v>0</v>
      </c>
      <c r="I10" s="91">
        <v>0</v>
      </c>
      <c r="J10" s="91">
        <v>0</v>
      </c>
      <c r="K10" s="91">
        <v>10568187</v>
      </c>
      <c r="L10" s="92">
        <v>0</v>
      </c>
      <c r="M10" s="92">
        <v>0</v>
      </c>
      <c r="N10" s="93">
        <v>0</v>
      </c>
      <c r="O10" s="93">
        <v>10568176</v>
      </c>
      <c r="P10" s="94">
        <v>11</v>
      </c>
      <c r="Q10" s="94">
        <v>0</v>
      </c>
      <c r="R10" s="94">
        <v>0</v>
      </c>
      <c r="S10" s="95">
        <v>10568173</v>
      </c>
      <c r="T10" s="95">
        <v>14</v>
      </c>
      <c r="U10" s="95">
        <v>0</v>
      </c>
      <c r="V10" s="95">
        <v>0</v>
      </c>
      <c r="W10" s="95">
        <v>10568176</v>
      </c>
      <c r="X10" s="95">
        <v>11</v>
      </c>
      <c r="Y10" s="95">
        <v>0</v>
      </c>
      <c r="Z10" s="95">
        <v>0</v>
      </c>
      <c r="AA10" s="95">
        <v>10568176</v>
      </c>
      <c r="AB10" s="95">
        <v>11</v>
      </c>
      <c r="AC10" s="95">
        <v>0</v>
      </c>
      <c r="AD10" s="95">
        <v>0</v>
      </c>
      <c r="AE10" s="95">
        <v>10568176</v>
      </c>
      <c r="AF10" s="95">
        <v>11</v>
      </c>
      <c r="AG10" s="95">
        <v>0</v>
      </c>
      <c r="AH10" s="95">
        <v>0</v>
      </c>
      <c r="AI10" s="95">
        <v>10568176</v>
      </c>
      <c r="AJ10" s="95">
        <v>11</v>
      </c>
      <c r="AK10" s="95">
        <v>0</v>
      </c>
      <c r="AL10" s="95">
        <v>0</v>
      </c>
      <c r="AM10" s="95">
        <v>10568176</v>
      </c>
      <c r="AN10" s="95">
        <v>11</v>
      </c>
      <c r="AO10" s="95">
        <v>0</v>
      </c>
      <c r="AP10" s="95">
        <v>0</v>
      </c>
      <c r="AQ10" s="95">
        <v>10568176</v>
      </c>
      <c r="AR10" s="95">
        <v>11</v>
      </c>
      <c r="AS10" s="95">
        <v>0</v>
      </c>
      <c r="AT10" s="95">
        <v>0</v>
      </c>
      <c r="AU10" s="95">
        <v>10568176</v>
      </c>
      <c r="AV10" s="95">
        <v>11</v>
      </c>
      <c r="AW10" s="95">
        <v>0</v>
      </c>
      <c r="AX10" s="95">
        <v>0</v>
      </c>
      <c r="AY10" s="95">
        <v>10568176</v>
      </c>
      <c r="AZ10" s="95">
        <v>0</v>
      </c>
      <c r="BA10" s="95">
        <v>6</v>
      </c>
      <c r="BB10" s="95">
        <v>5</v>
      </c>
      <c r="BC10" s="95">
        <v>10568176</v>
      </c>
      <c r="BD10" s="95">
        <v>0</v>
      </c>
      <c r="BE10" s="95">
        <v>6</v>
      </c>
      <c r="BF10" s="95">
        <v>5</v>
      </c>
      <c r="BG10" s="95">
        <v>1593257</v>
      </c>
      <c r="BH10" s="95">
        <v>8974911</v>
      </c>
      <c r="BI10" s="95">
        <v>0</v>
      </c>
      <c r="BJ10" s="95">
        <v>19</v>
      </c>
      <c r="BK10" s="95">
        <v>10568187</v>
      </c>
      <c r="BL10" s="95">
        <v>0</v>
      </c>
      <c r="BM10" s="95">
        <v>0</v>
      </c>
      <c r="BN10" s="95">
        <v>0</v>
      </c>
      <c r="BO10" s="95">
        <v>10525105</v>
      </c>
      <c r="BP10" s="95">
        <v>43082</v>
      </c>
      <c r="BQ10" s="95">
        <v>0</v>
      </c>
      <c r="BR10" s="95">
        <v>0</v>
      </c>
      <c r="BS10" s="95">
        <v>6887171</v>
      </c>
      <c r="BT10" s="95">
        <v>3681016</v>
      </c>
      <c r="BU10" s="95">
        <v>0</v>
      </c>
      <c r="BV10" s="95">
        <v>0</v>
      </c>
      <c r="BW10" s="95">
        <v>1532322</v>
      </c>
      <c r="BX10" s="95">
        <v>9035865</v>
      </c>
      <c r="BY10" s="95">
        <v>0</v>
      </c>
      <c r="BZ10" s="95">
        <v>0</v>
      </c>
      <c r="CA10" s="95">
        <v>1539597</v>
      </c>
      <c r="CB10" s="95">
        <v>9028590</v>
      </c>
      <c r="CC10" s="95">
        <v>0</v>
      </c>
      <c r="CD10" s="95">
        <v>0</v>
      </c>
      <c r="CE10" s="95">
        <v>1539597</v>
      </c>
      <c r="CF10" s="95">
        <v>9028590</v>
      </c>
      <c r="CG10" s="95">
        <v>0</v>
      </c>
      <c r="CH10" s="95">
        <v>0</v>
      </c>
      <c r="CI10" s="95">
        <v>10568187</v>
      </c>
      <c r="CJ10" s="95">
        <v>0</v>
      </c>
      <c r="CK10" s="95">
        <v>0</v>
      </c>
      <c r="CL10" s="95">
        <v>0</v>
      </c>
      <c r="CM10" s="95">
        <v>10568187</v>
      </c>
      <c r="CN10" s="95">
        <v>0</v>
      </c>
      <c r="CO10" s="95">
        <v>0</v>
      </c>
      <c r="CP10" s="95">
        <v>0</v>
      </c>
      <c r="CQ10" s="95">
        <v>10568187</v>
      </c>
      <c r="CR10" s="95">
        <v>0</v>
      </c>
      <c r="CS10" s="95">
        <v>0</v>
      </c>
      <c r="CT10" s="95">
        <v>0</v>
      </c>
      <c r="CU10" s="95">
        <v>10568187</v>
      </c>
      <c r="CV10" s="95">
        <v>0</v>
      </c>
      <c r="CW10" s="95">
        <v>0</v>
      </c>
      <c r="CX10" s="95">
        <v>0</v>
      </c>
      <c r="CY10" s="95">
        <v>10568187</v>
      </c>
      <c r="CZ10" s="95">
        <v>0</v>
      </c>
      <c r="DA10" s="95">
        <v>0</v>
      </c>
      <c r="DB10" s="95">
        <v>0</v>
      </c>
      <c r="DC10" s="95">
        <v>10568187</v>
      </c>
      <c r="DD10" s="95">
        <v>0</v>
      </c>
      <c r="DE10" s="95">
        <v>0</v>
      </c>
      <c r="DF10" s="95">
        <v>0</v>
      </c>
      <c r="DG10" s="95">
        <v>10568187</v>
      </c>
      <c r="DH10" s="95">
        <v>0</v>
      </c>
      <c r="DI10" s="95">
        <v>0</v>
      </c>
      <c r="DJ10" s="95">
        <v>0</v>
      </c>
      <c r="DK10" s="95">
        <v>10568187</v>
      </c>
      <c r="DL10" s="95">
        <v>0</v>
      </c>
      <c r="DM10" s="95">
        <v>0</v>
      </c>
      <c r="DN10" s="95">
        <v>0</v>
      </c>
      <c r="DO10" s="95">
        <v>10568187</v>
      </c>
      <c r="DP10" s="95">
        <v>0</v>
      </c>
      <c r="DQ10" s="95">
        <v>0</v>
      </c>
      <c r="DR10" s="95">
        <v>0</v>
      </c>
      <c r="DS10" s="95">
        <v>10568187</v>
      </c>
      <c r="DT10" s="95">
        <v>0</v>
      </c>
      <c r="DU10" s="95">
        <v>0</v>
      </c>
      <c r="DV10" s="95">
        <v>0</v>
      </c>
      <c r="DW10" s="95">
        <v>10568187</v>
      </c>
      <c r="DX10" s="95">
        <v>0</v>
      </c>
      <c r="DY10" s="95">
        <v>0</v>
      </c>
      <c r="DZ10" s="95">
        <v>0</v>
      </c>
      <c r="EA10" s="95">
        <v>10568187</v>
      </c>
      <c r="EB10" s="95">
        <v>0</v>
      </c>
      <c r="EC10" s="95">
        <v>0</v>
      </c>
      <c r="ED10" s="95">
        <v>0</v>
      </c>
      <c r="EE10" s="95">
        <v>10568176</v>
      </c>
      <c r="EF10" s="95">
        <v>11</v>
      </c>
      <c r="EG10" s="95">
        <v>0</v>
      </c>
      <c r="EH10" s="95">
        <v>0</v>
      </c>
      <c r="EI10" s="95">
        <v>10568176</v>
      </c>
      <c r="EJ10" s="95">
        <v>11</v>
      </c>
      <c r="EK10" s="95">
        <v>0</v>
      </c>
      <c r="EL10" s="95">
        <v>0</v>
      </c>
      <c r="EM10" s="95">
        <v>10568187</v>
      </c>
      <c r="EN10" s="95">
        <v>0</v>
      </c>
      <c r="EO10" s="95">
        <v>0</v>
      </c>
      <c r="EP10" s="95">
        <v>0</v>
      </c>
      <c r="EQ10" s="95">
        <v>10568187</v>
      </c>
      <c r="ER10" s="95">
        <v>0</v>
      </c>
      <c r="ES10" s="95">
        <v>0</v>
      </c>
      <c r="ET10" s="95">
        <v>0</v>
      </c>
      <c r="EU10" s="95">
        <v>10568187</v>
      </c>
      <c r="EV10" s="95">
        <v>0</v>
      </c>
      <c r="EW10" s="95">
        <v>0</v>
      </c>
      <c r="EX10" s="95">
        <v>0</v>
      </c>
      <c r="EY10" s="95">
        <v>10568187</v>
      </c>
      <c r="EZ10" s="95">
        <v>0</v>
      </c>
      <c r="FA10" s="95">
        <v>0</v>
      </c>
      <c r="FB10" s="95">
        <v>0</v>
      </c>
      <c r="FC10" s="95">
        <v>10568176</v>
      </c>
      <c r="FD10" s="95">
        <v>11</v>
      </c>
      <c r="FE10" s="95">
        <v>0</v>
      </c>
      <c r="FF10" s="95">
        <v>0</v>
      </c>
      <c r="FG10" s="95">
        <v>10568176</v>
      </c>
      <c r="FH10" s="95">
        <v>11</v>
      </c>
      <c r="FI10" s="95">
        <v>0</v>
      </c>
      <c r="FJ10" s="95">
        <v>0</v>
      </c>
      <c r="FK10" s="95">
        <v>10568187</v>
      </c>
      <c r="FL10" s="95">
        <v>0</v>
      </c>
      <c r="FM10" s="95">
        <v>0</v>
      </c>
      <c r="FN10" s="95">
        <v>0</v>
      </c>
      <c r="FO10" s="95">
        <v>0</v>
      </c>
      <c r="FP10" s="95">
        <v>10568187</v>
      </c>
      <c r="FQ10" s="95">
        <v>0</v>
      </c>
      <c r="FR10" s="95">
        <v>0</v>
      </c>
      <c r="FS10" s="95">
        <v>0</v>
      </c>
      <c r="FT10" s="95">
        <v>10568187</v>
      </c>
      <c r="FU10" s="95">
        <v>0</v>
      </c>
      <c r="FV10" s="95">
        <v>0</v>
      </c>
    </row>
    <row r="11" spans="1:179" s="19" customFormat="1" x14ac:dyDescent="0.3">
      <c r="C11" s="14"/>
      <c r="D11" s="15"/>
      <c r="E11" s="16"/>
      <c r="F11" s="16"/>
      <c r="G11" s="16"/>
      <c r="H11" s="17"/>
      <c r="I11" s="17"/>
      <c r="J11" s="17"/>
      <c r="K11" s="17"/>
      <c r="L11" s="17"/>
      <c r="M11" s="17"/>
      <c r="N11" s="12"/>
      <c r="O11" s="12"/>
      <c r="P11" s="14"/>
      <c r="Q11" s="14"/>
      <c r="R11" s="14"/>
    </row>
    <row r="12" spans="1:179" x14ac:dyDescent="0.3">
      <c r="C12" s="3" t="s">
        <v>113</v>
      </c>
      <c r="D12" s="3"/>
      <c r="E12" s="3"/>
      <c r="F12" s="3"/>
      <c r="G12" s="3"/>
      <c r="H12" s="3"/>
      <c r="I12" s="3"/>
      <c r="J12" s="3"/>
      <c r="K12" s="3"/>
      <c r="L12" s="3"/>
      <c r="M12" s="3"/>
      <c r="N12" s="3"/>
      <c r="O12" s="3"/>
      <c r="P12" s="3"/>
    </row>
    <row r="14" spans="1:179" x14ac:dyDescent="0.3">
      <c r="C14" s="21" t="s">
        <v>114</v>
      </c>
    </row>
    <row r="15" spans="1:179" ht="14.4" customHeight="1" x14ac:dyDescent="0.3"/>
    <row r="16" spans="1:179" x14ac:dyDescent="0.3">
      <c r="C16" s="20" t="s">
        <v>116</v>
      </c>
      <c r="Q16" s="60"/>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row>
    <row r="17" spans="3:41" ht="14.4" customHeight="1" x14ac:dyDescent="0.3">
      <c r="D17" s="114" t="s">
        <v>573</v>
      </c>
      <c r="E17" s="114"/>
      <c r="F17" s="114"/>
      <c r="G17" s="114"/>
      <c r="H17" s="114"/>
      <c r="I17" s="114"/>
      <c r="J17" s="114"/>
      <c r="K17" s="114"/>
      <c r="L17" s="114"/>
      <c r="M17" s="114"/>
      <c r="N17" s="114"/>
      <c r="O17" s="22"/>
      <c r="P17" s="22"/>
      <c r="Q17" s="60"/>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row>
    <row r="18" spans="3:41" x14ac:dyDescent="0.3">
      <c r="C18" s="21" t="s">
        <v>118</v>
      </c>
    </row>
    <row r="19" spans="3:41" x14ac:dyDescent="0.3">
      <c r="D19" s="115"/>
      <c r="E19" s="115"/>
      <c r="F19" s="115"/>
      <c r="G19" s="115"/>
      <c r="H19" s="115"/>
      <c r="I19" s="115"/>
      <c r="J19" s="115"/>
      <c r="K19" s="115"/>
      <c r="L19" s="115"/>
      <c r="M19" s="115"/>
      <c r="N19" s="115"/>
      <c r="O19" s="115"/>
      <c r="P19" s="115"/>
    </row>
    <row r="20" spans="3:41" x14ac:dyDescent="0.3">
      <c r="C20" s="21" t="s">
        <v>119</v>
      </c>
    </row>
    <row r="21" spans="3:41" x14ac:dyDescent="0.3">
      <c r="D21" s="115"/>
      <c r="E21" s="115"/>
      <c r="F21" s="115"/>
      <c r="G21" s="115"/>
      <c r="H21" s="115"/>
      <c r="I21" s="115"/>
      <c r="J21" s="115"/>
      <c r="K21" s="115"/>
      <c r="L21" s="115"/>
      <c r="M21" s="115"/>
      <c r="N21" s="115"/>
      <c r="O21" s="115"/>
      <c r="P21" s="115"/>
    </row>
    <row r="22" spans="3:41" x14ac:dyDescent="0.3">
      <c r="D22" s="22"/>
      <c r="E22" s="22"/>
      <c r="F22" s="22"/>
      <c r="G22" s="22"/>
      <c r="H22" s="22"/>
      <c r="I22" s="22"/>
      <c r="J22" s="22"/>
      <c r="K22" s="22"/>
      <c r="L22" s="22"/>
      <c r="M22" s="22"/>
      <c r="N22" s="22"/>
      <c r="O22" s="22"/>
      <c r="P22" s="22"/>
    </row>
    <row r="23" spans="3:41" x14ac:dyDescent="0.3">
      <c r="C23" s="3" t="s">
        <v>120</v>
      </c>
      <c r="D23" s="23"/>
      <c r="E23" s="23"/>
      <c r="F23" s="3"/>
      <c r="G23" s="3"/>
      <c r="H23" s="3"/>
      <c r="I23" s="3"/>
      <c r="J23" s="3"/>
      <c r="K23" s="3"/>
      <c r="L23" s="3"/>
      <c r="M23" s="3"/>
      <c r="N23" s="3"/>
      <c r="O23" s="3"/>
      <c r="P23" s="3"/>
    </row>
    <row r="25" spans="3:41" x14ac:dyDescent="0.3">
      <c r="C25" s="32" t="s">
        <v>411</v>
      </c>
      <c r="D25" s="7">
        <v>11</v>
      </c>
    </row>
    <row r="26" spans="3:41" x14ac:dyDescent="0.3">
      <c r="C26" s="19" t="s">
        <v>415</v>
      </c>
      <c r="D26" s="58">
        <v>14</v>
      </c>
    </row>
    <row r="27" spans="3:41" x14ac:dyDescent="0.3">
      <c r="C27" s="19" t="s">
        <v>419</v>
      </c>
      <c r="D27" s="58">
        <v>11</v>
      </c>
    </row>
    <row r="28" spans="3:41" x14ac:dyDescent="0.3">
      <c r="C28" s="19" t="s">
        <v>423</v>
      </c>
      <c r="D28" s="58">
        <v>11</v>
      </c>
    </row>
    <row r="29" spans="3:41" x14ac:dyDescent="0.3">
      <c r="C29" s="19" t="s">
        <v>427</v>
      </c>
      <c r="D29" s="58">
        <v>11</v>
      </c>
    </row>
    <row r="30" spans="3:41" x14ac:dyDescent="0.3">
      <c r="C30" s="19" t="s">
        <v>431</v>
      </c>
      <c r="D30" s="58">
        <v>11</v>
      </c>
    </row>
    <row r="31" spans="3:41" x14ac:dyDescent="0.3">
      <c r="C31" s="19" t="s">
        <v>435</v>
      </c>
      <c r="D31" s="58">
        <v>11</v>
      </c>
    </row>
    <row r="32" spans="3:41" x14ac:dyDescent="0.3">
      <c r="C32" s="19" t="s">
        <v>439</v>
      </c>
      <c r="D32" s="58">
        <v>11</v>
      </c>
    </row>
    <row r="33" spans="3:4" x14ac:dyDescent="0.3">
      <c r="C33" s="19" t="s">
        <v>443</v>
      </c>
      <c r="D33" s="58">
        <v>11</v>
      </c>
    </row>
    <row r="34" spans="3:4" x14ac:dyDescent="0.3">
      <c r="C34" s="19" t="s">
        <v>448</v>
      </c>
      <c r="D34" s="58">
        <v>6</v>
      </c>
    </row>
    <row r="35" spans="3:4" x14ac:dyDescent="0.3">
      <c r="C35" s="19" t="s">
        <v>449</v>
      </c>
      <c r="D35" s="58">
        <v>5</v>
      </c>
    </row>
    <row r="36" spans="3:4" x14ac:dyDescent="0.3">
      <c r="C36" s="19" t="s">
        <v>452</v>
      </c>
      <c r="D36" s="58">
        <v>6</v>
      </c>
    </row>
    <row r="37" spans="3:4" x14ac:dyDescent="0.3">
      <c r="C37" s="19" t="s">
        <v>453</v>
      </c>
      <c r="D37" s="58">
        <v>5</v>
      </c>
    </row>
    <row r="38" spans="3:4" x14ac:dyDescent="0.3">
      <c r="C38" s="19" t="s">
        <v>455</v>
      </c>
      <c r="D38" s="58">
        <v>8984622</v>
      </c>
    </row>
    <row r="39" spans="3:4" x14ac:dyDescent="0.3">
      <c r="C39" s="19" t="s">
        <v>456</v>
      </c>
      <c r="D39" s="58">
        <v>2</v>
      </c>
    </row>
    <row r="40" spans="3:4" x14ac:dyDescent="0.3">
      <c r="C40" s="19" t="s">
        <v>457</v>
      </c>
      <c r="D40" s="58">
        <v>19</v>
      </c>
    </row>
    <row r="41" spans="3:4" x14ac:dyDescent="0.3">
      <c r="C41" s="19" t="s">
        <v>463</v>
      </c>
      <c r="D41" s="58">
        <v>43162</v>
      </c>
    </row>
    <row r="42" spans="3:4" x14ac:dyDescent="0.3">
      <c r="C42" s="19" t="s">
        <v>467</v>
      </c>
      <c r="D42" s="58">
        <v>3683193</v>
      </c>
    </row>
    <row r="43" spans="3:4" x14ac:dyDescent="0.3">
      <c r="C43" s="19" t="s">
        <v>471</v>
      </c>
      <c r="D43" s="58">
        <v>9035932</v>
      </c>
    </row>
    <row r="44" spans="3:4" x14ac:dyDescent="0.3">
      <c r="C44" s="19" t="s">
        <v>475</v>
      </c>
      <c r="D44" s="58">
        <v>9028657</v>
      </c>
    </row>
    <row r="45" spans="3:4" x14ac:dyDescent="0.3">
      <c r="C45" s="19" t="s">
        <v>479</v>
      </c>
      <c r="D45" s="58">
        <v>9028657</v>
      </c>
    </row>
    <row r="46" spans="3:4" x14ac:dyDescent="0.3">
      <c r="C46" s="19" t="s">
        <v>531</v>
      </c>
      <c r="D46" s="58">
        <v>11</v>
      </c>
    </row>
    <row r="47" spans="3:4" x14ac:dyDescent="0.3">
      <c r="C47" s="19" t="s">
        <v>535</v>
      </c>
      <c r="D47" s="58">
        <v>11</v>
      </c>
    </row>
    <row r="48" spans="3:4" x14ac:dyDescent="0.3">
      <c r="C48" s="19" t="s">
        <v>555</v>
      </c>
      <c r="D48" s="58">
        <v>11</v>
      </c>
    </row>
    <row r="49" spans="3:16" x14ac:dyDescent="0.3">
      <c r="C49" s="19" t="s">
        <v>559</v>
      </c>
      <c r="D49" s="58">
        <v>11</v>
      </c>
    </row>
    <row r="51" spans="3:16" x14ac:dyDescent="0.3">
      <c r="C51" s="3" t="s">
        <v>121</v>
      </c>
      <c r="D51" s="3"/>
      <c r="E51" s="3"/>
      <c r="F51" s="3"/>
      <c r="G51" s="3"/>
      <c r="H51" s="3"/>
      <c r="I51" s="3"/>
      <c r="J51" s="3"/>
      <c r="K51" s="3"/>
      <c r="L51" s="3"/>
      <c r="M51" s="3"/>
      <c r="N51" s="3"/>
      <c r="O51" s="3"/>
      <c r="P51" s="3"/>
    </row>
    <row r="178" ht="44.4" customHeight="1" x14ac:dyDescent="0.3"/>
    <row r="180" ht="14.4" customHeight="1" x14ac:dyDescent="0.3"/>
    <row r="192" ht="14.4" customHeight="1" x14ac:dyDescent="0.3"/>
  </sheetData>
  <mergeCells count="3">
    <mergeCell ref="D17:N17"/>
    <mergeCell ref="D19:P19"/>
    <mergeCell ref="D21:P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CAAD2-8A42-4772-A45B-1926C8E3DCAC}">
  <dimension ref="B3:FS76"/>
  <sheetViews>
    <sheetView topLeftCell="D61" workbookViewId="0">
      <selection activeCell="C75" sqref="C75:AZ76"/>
    </sheetView>
  </sheetViews>
  <sheetFormatPr defaultRowHeight="14.4" x14ac:dyDescent="0.3"/>
  <cols>
    <col min="3" max="3" width="52.88671875" bestFit="1" customWidth="1"/>
    <col min="4" max="4" width="40.88671875" bestFit="1" customWidth="1"/>
    <col min="5" max="5" width="21.88671875" bestFit="1" customWidth="1"/>
    <col min="6" max="6" width="22.88671875" bestFit="1" customWidth="1"/>
    <col min="7" max="7" width="18.44140625" bestFit="1" customWidth="1"/>
    <col min="8" max="9" width="10" bestFit="1" customWidth="1"/>
    <col min="10" max="10" width="9.109375" bestFit="1" customWidth="1"/>
    <col min="11" max="11" width="9" bestFit="1" customWidth="1"/>
    <col min="12" max="12" width="28.44140625" bestFit="1" customWidth="1"/>
    <col min="13" max="13" width="26.5546875" bestFit="1" customWidth="1"/>
    <col min="14" max="14" width="8.88671875" bestFit="1" customWidth="1"/>
    <col min="15" max="15" width="11.88671875" bestFit="1" customWidth="1"/>
    <col min="16" max="16" width="11.109375" bestFit="1" customWidth="1"/>
    <col min="17" max="17" width="7.44140625" bestFit="1" customWidth="1"/>
    <col min="18" max="18" width="9.88671875" bestFit="1" customWidth="1"/>
    <col min="19" max="174" width="9" bestFit="1" customWidth="1"/>
  </cols>
  <sheetData>
    <row r="3" spans="2:175" x14ac:dyDescent="0.3">
      <c r="C3" s="1" t="s">
        <v>574</v>
      </c>
      <c r="D3" s="1"/>
      <c r="E3" s="1"/>
      <c r="F3" s="1"/>
      <c r="G3" s="1"/>
      <c r="H3" s="1"/>
      <c r="I3" s="1"/>
      <c r="J3" s="1"/>
      <c r="K3" s="1"/>
      <c r="L3" s="1"/>
      <c r="M3" s="1"/>
      <c r="N3" s="1"/>
      <c r="O3" s="1"/>
      <c r="P3" s="1"/>
    </row>
    <row r="5" spans="2:175" x14ac:dyDescent="0.3">
      <c r="C5" s="3" t="s">
        <v>52</v>
      </c>
      <c r="D5" s="3"/>
      <c r="E5" s="3"/>
      <c r="F5" s="3"/>
      <c r="G5" s="3"/>
      <c r="H5" s="3"/>
      <c r="I5" s="3"/>
      <c r="J5" s="3"/>
      <c r="K5" s="3"/>
      <c r="L5" s="3"/>
      <c r="M5" s="3"/>
      <c r="N5" s="3"/>
      <c r="O5" s="3"/>
      <c r="P5" s="3"/>
    </row>
    <row r="6" spans="2:175" x14ac:dyDescent="0.3">
      <c r="C6" s="32" t="s">
        <v>133</v>
      </c>
      <c r="D6" s="32" t="s">
        <v>54</v>
      </c>
      <c r="E6" s="32" t="s">
        <v>367</v>
      </c>
      <c r="F6" s="32" t="s">
        <v>367</v>
      </c>
      <c r="G6" s="32" t="s">
        <v>575</v>
      </c>
      <c r="H6" s="32" t="s">
        <v>576</v>
      </c>
      <c r="I6" s="32" t="s">
        <v>577</v>
      </c>
      <c r="J6" s="32" t="s">
        <v>578</v>
      </c>
      <c r="K6" s="32" t="s">
        <v>579</v>
      </c>
      <c r="L6" s="32" t="s">
        <v>580</v>
      </c>
      <c r="M6" s="32" t="s">
        <v>581</v>
      </c>
      <c r="N6" s="32" t="s">
        <v>582</v>
      </c>
      <c r="O6" s="32" t="s">
        <v>583</v>
      </c>
      <c r="P6" s="32" t="s">
        <v>584</v>
      </c>
      <c r="Q6" s="32" t="s">
        <v>585</v>
      </c>
      <c r="R6" s="32" t="s">
        <v>586</v>
      </c>
      <c r="S6" s="32" t="s">
        <v>587</v>
      </c>
      <c r="T6" s="32" t="s">
        <v>588</v>
      </c>
      <c r="U6" s="32" t="s">
        <v>589</v>
      </c>
      <c r="V6" s="32" t="s">
        <v>590</v>
      </c>
      <c r="W6" s="32" t="s">
        <v>591</v>
      </c>
      <c r="X6" s="32" t="s">
        <v>592</v>
      </c>
      <c r="Y6" s="32" t="s">
        <v>593</v>
      </c>
      <c r="Z6" s="32" t="s">
        <v>594</v>
      </c>
      <c r="AA6" s="32" t="s">
        <v>595</v>
      </c>
      <c r="AB6" s="32" t="s">
        <v>596</v>
      </c>
      <c r="AC6" s="32" t="s">
        <v>597</v>
      </c>
      <c r="AD6" s="32" t="s">
        <v>598</v>
      </c>
      <c r="AE6" s="32" t="s">
        <v>599</v>
      </c>
      <c r="AF6" s="32" t="s">
        <v>600</v>
      </c>
      <c r="AG6" s="32" t="s">
        <v>601</v>
      </c>
      <c r="AH6" s="32" t="s">
        <v>602</v>
      </c>
      <c r="AI6" s="32" t="s">
        <v>603</v>
      </c>
      <c r="AJ6" s="32" t="s">
        <v>604</v>
      </c>
      <c r="AK6" s="32" t="s">
        <v>605</v>
      </c>
      <c r="AL6" s="32" t="s">
        <v>606</v>
      </c>
      <c r="AM6" s="32" t="s">
        <v>607</v>
      </c>
      <c r="AN6" s="32" t="s">
        <v>608</v>
      </c>
      <c r="AO6" s="32" t="s">
        <v>609</v>
      </c>
      <c r="AP6" s="32" t="s">
        <v>610</v>
      </c>
      <c r="AQ6" s="32" t="s">
        <v>611</v>
      </c>
      <c r="AR6" s="32" t="s">
        <v>612</v>
      </c>
      <c r="AS6" s="32" t="s">
        <v>613</v>
      </c>
      <c r="AT6" s="32" t="s">
        <v>614</v>
      </c>
      <c r="AU6" s="32" t="s">
        <v>615</v>
      </c>
      <c r="AV6" s="32" t="s">
        <v>616</v>
      </c>
      <c r="AW6" s="32" t="s">
        <v>617</v>
      </c>
      <c r="AX6" s="32" t="s">
        <v>618</v>
      </c>
      <c r="AY6" s="32" t="s">
        <v>619</v>
      </c>
      <c r="AZ6" s="32" t="s">
        <v>620</v>
      </c>
      <c r="BA6" s="32" t="s">
        <v>621</v>
      </c>
      <c r="BB6" s="32" t="s">
        <v>622</v>
      </c>
      <c r="BC6" s="32" t="s">
        <v>623</v>
      </c>
      <c r="BD6" s="32" t="s">
        <v>624</v>
      </c>
      <c r="BE6" s="32" t="s">
        <v>625</v>
      </c>
      <c r="BF6" s="32" t="s">
        <v>626</v>
      </c>
      <c r="BG6" s="32" t="s">
        <v>627</v>
      </c>
      <c r="BH6" s="32" t="s">
        <v>628</v>
      </c>
      <c r="BI6" s="32" t="s">
        <v>629</v>
      </c>
      <c r="BJ6" s="32" t="s">
        <v>630</v>
      </c>
      <c r="BK6" s="32" t="s">
        <v>631</v>
      </c>
      <c r="BL6" s="32" t="s">
        <v>632</v>
      </c>
      <c r="BM6" s="32" t="s">
        <v>633</v>
      </c>
      <c r="BN6" s="32" t="s">
        <v>634</v>
      </c>
      <c r="BO6" s="32" t="s">
        <v>635</v>
      </c>
      <c r="BP6" s="32" t="s">
        <v>636</v>
      </c>
      <c r="BQ6" s="32" t="s">
        <v>637</v>
      </c>
      <c r="BR6" s="32" t="s">
        <v>638</v>
      </c>
      <c r="BS6" s="32" t="s">
        <v>639</v>
      </c>
      <c r="BT6" s="32" t="s">
        <v>640</v>
      </c>
      <c r="BU6" s="32" t="s">
        <v>641</v>
      </c>
      <c r="BV6" s="32" t="s">
        <v>642</v>
      </c>
      <c r="BW6" s="32" t="s">
        <v>643</v>
      </c>
      <c r="BX6" s="32" t="s">
        <v>644</v>
      </c>
      <c r="BY6" s="32" t="s">
        <v>645</v>
      </c>
      <c r="BZ6" s="32" t="s">
        <v>646</v>
      </c>
      <c r="CA6" s="32" t="s">
        <v>647</v>
      </c>
      <c r="CB6" s="32" t="s">
        <v>648</v>
      </c>
      <c r="CC6" s="32" t="s">
        <v>649</v>
      </c>
      <c r="CD6" s="32" t="s">
        <v>650</v>
      </c>
      <c r="CE6" s="32" t="s">
        <v>651</v>
      </c>
      <c r="CF6" s="32" t="s">
        <v>652</v>
      </c>
      <c r="CG6" s="32" t="s">
        <v>653</v>
      </c>
      <c r="CH6" s="32" t="s">
        <v>654</v>
      </c>
      <c r="CI6" s="32" t="s">
        <v>655</v>
      </c>
      <c r="CJ6" s="32" t="s">
        <v>656</v>
      </c>
      <c r="CK6" s="32" t="s">
        <v>657</v>
      </c>
      <c r="CL6" s="32" t="s">
        <v>658</v>
      </c>
      <c r="CM6" s="32" t="s">
        <v>659</v>
      </c>
      <c r="CN6" s="32" t="s">
        <v>660</v>
      </c>
      <c r="CO6" s="32" t="s">
        <v>661</v>
      </c>
      <c r="CP6" s="32" t="s">
        <v>662</v>
      </c>
      <c r="CQ6" s="32" t="s">
        <v>235</v>
      </c>
      <c r="CR6" s="32" t="s">
        <v>236</v>
      </c>
      <c r="CS6" s="32" t="s">
        <v>566</v>
      </c>
      <c r="CT6" s="32" t="s">
        <v>567</v>
      </c>
      <c r="CU6" s="32" t="s">
        <v>663</v>
      </c>
      <c r="CV6" s="32" t="s">
        <v>664</v>
      </c>
      <c r="CW6" s="32" t="s">
        <v>665</v>
      </c>
      <c r="CX6" s="32" t="s">
        <v>666</v>
      </c>
      <c r="CY6" s="32" t="s">
        <v>667</v>
      </c>
      <c r="CZ6" s="32" t="s">
        <v>668</v>
      </c>
      <c r="DA6" s="32" t="s">
        <v>669</v>
      </c>
      <c r="DB6" s="32" t="s">
        <v>670</v>
      </c>
      <c r="DC6" s="32" t="s">
        <v>671</v>
      </c>
      <c r="DD6" s="32" t="s">
        <v>672</v>
      </c>
      <c r="DE6" s="32" t="s">
        <v>673</v>
      </c>
      <c r="DF6" s="32" t="s">
        <v>674</v>
      </c>
      <c r="DG6" s="32" t="s">
        <v>675</v>
      </c>
      <c r="DH6" s="32" t="s">
        <v>676</v>
      </c>
      <c r="DI6" s="32" t="s">
        <v>677</v>
      </c>
      <c r="DJ6" s="32" t="s">
        <v>678</v>
      </c>
      <c r="DK6" s="32" t="s">
        <v>679</v>
      </c>
      <c r="DL6" s="32" t="s">
        <v>680</v>
      </c>
      <c r="DM6" s="32" t="s">
        <v>681</v>
      </c>
      <c r="DN6" s="32" t="s">
        <v>682</v>
      </c>
      <c r="DO6" s="32" t="s">
        <v>683</v>
      </c>
      <c r="DP6" s="32" t="s">
        <v>684</v>
      </c>
      <c r="DQ6" s="32" t="s">
        <v>685</v>
      </c>
      <c r="DR6" s="32" t="s">
        <v>686</v>
      </c>
      <c r="DS6" s="32" t="s">
        <v>687</v>
      </c>
      <c r="DT6" s="32" t="s">
        <v>688</v>
      </c>
      <c r="DU6" s="32" t="s">
        <v>689</v>
      </c>
      <c r="DV6" s="32" t="s">
        <v>690</v>
      </c>
      <c r="DW6" s="32" t="s">
        <v>691</v>
      </c>
      <c r="DX6" s="32" t="s">
        <v>692</v>
      </c>
      <c r="DY6" s="32" t="s">
        <v>693</v>
      </c>
      <c r="DZ6" s="32" t="s">
        <v>694</v>
      </c>
      <c r="EA6" s="32" t="s">
        <v>695</v>
      </c>
      <c r="EB6" s="32" t="s">
        <v>696</v>
      </c>
      <c r="EC6" s="32" t="s">
        <v>697</v>
      </c>
      <c r="ED6" s="32" t="s">
        <v>698</v>
      </c>
      <c r="EE6" s="32" t="s">
        <v>699</v>
      </c>
      <c r="EF6" s="32" t="s">
        <v>700</v>
      </c>
      <c r="EG6" s="32" t="s">
        <v>701</v>
      </c>
      <c r="EH6" s="32" t="s">
        <v>702</v>
      </c>
      <c r="EI6" s="32" t="s">
        <v>703</v>
      </c>
      <c r="EJ6" s="32" t="s">
        <v>704</v>
      </c>
      <c r="EK6" s="32" t="s">
        <v>705</v>
      </c>
      <c r="EL6" s="32" t="s">
        <v>706</v>
      </c>
      <c r="EM6" s="32" t="s">
        <v>707</v>
      </c>
      <c r="EN6" s="32" t="s">
        <v>708</v>
      </c>
      <c r="EO6" s="32" t="s">
        <v>709</v>
      </c>
      <c r="EP6" s="32" t="s">
        <v>710</v>
      </c>
      <c r="EQ6" s="32" t="s">
        <v>711</v>
      </c>
      <c r="ER6" s="32" t="s">
        <v>712</v>
      </c>
      <c r="ES6" s="32" t="s">
        <v>713</v>
      </c>
      <c r="ET6" s="32" t="s">
        <v>714</v>
      </c>
      <c r="EU6" s="32" t="s">
        <v>715</v>
      </c>
      <c r="EV6" s="32" t="s">
        <v>716</v>
      </c>
      <c r="EW6" s="32" t="s">
        <v>717</v>
      </c>
      <c r="EX6" s="32" t="s">
        <v>718</v>
      </c>
      <c r="EY6" s="32" t="s">
        <v>719</v>
      </c>
      <c r="EZ6" s="32" t="s">
        <v>720</v>
      </c>
      <c r="FA6" s="32" t="s">
        <v>721</v>
      </c>
      <c r="FB6" s="32" t="s">
        <v>722</v>
      </c>
      <c r="FC6" s="32" t="s">
        <v>723</v>
      </c>
      <c r="FD6" s="32" t="s">
        <v>724</v>
      </c>
      <c r="FE6" s="32" t="s">
        <v>725</v>
      </c>
      <c r="FF6" s="32" t="s">
        <v>726</v>
      </c>
      <c r="FG6" s="32" t="s">
        <v>727</v>
      </c>
      <c r="FH6" s="32" t="s">
        <v>728</v>
      </c>
      <c r="FI6" s="32" t="s">
        <v>729</v>
      </c>
      <c r="FJ6" s="32" t="s">
        <v>730</v>
      </c>
      <c r="FK6" s="32" t="s">
        <v>731</v>
      </c>
      <c r="FL6" s="32" t="s">
        <v>732</v>
      </c>
      <c r="FM6" s="32" t="s">
        <v>733</v>
      </c>
      <c r="FN6" s="32" t="s">
        <v>734</v>
      </c>
      <c r="FO6" s="32" t="s">
        <v>735</v>
      </c>
      <c r="FP6" s="32" t="s">
        <v>736</v>
      </c>
      <c r="FQ6" s="32" t="s">
        <v>737</v>
      </c>
      <c r="FR6" s="32" t="s">
        <v>738</v>
      </c>
      <c r="FS6" s="19"/>
    </row>
    <row r="7" spans="2:175" x14ac:dyDescent="0.3">
      <c r="C7" s="4">
        <v>10568187</v>
      </c>
      <c r="D7" s="32" t="s">
        <v>183</v>
      </c>
      <c r="E7" s="32" t="s">
        <v>739</v>
      </c>
      <c r="F7" s="32" t="s">
        <v>740</v>
      </c>
      <c r="G7" s="4">
        <v>10568187</v>
      </c>
      <c r="H7" s="4">
        <v>0</v>
      </c>
      <c r="I7" s="4">
        <v>0</v>
      </c>
      <c r="J7" s="4">
        <v>0</v>
      </c>
      <c r="K7" s="4">
        <v>10568187</v>
      </c>
      <c r="L7" s="4">
        <v>0</v>
      </c>
      <c r="M7" s="4">
        <v>0</v>
      </c>
      <c r="N7" s="4">
        <v>0</v>
      </c>
      <c r="O7" s="4">
        <v>10568187</v>
      </c>
      <c r="P7" s="4">
        <v>0</v>
      </c>
      <c r="Q7" s="4">
        <v>0</v>
      </c>
      <c r="R7" s="4">
        <v>0</v>
      </c>
      <c r="S7" s="4">
        <v>10568187</v>
      </c>
      <c r="T7" s="4">
        <v>0</v>
      </c>
      <c r="U7" s="4">
        <v>0</v>
      </c>
      <c r="V7" s="4">
        <v>0</v>
      </c>
      <c r="W7" s="4">
        <v>10568187</v>
      </c>
      <c r="X7" s="4">
        <v>0</v>
      </c>
      <c r="Y7" s="4">
        <v>0</v>
      </c>
      <c r="Z7" s="4">
        <v>0</v>
      </c>
      <c r="AA7" s="4">
        <v>10568187</v>
      </c>
      <c r="AB7" s="4">
        <v>0</v>
      </c>
      <c r="AC7" s="4">
        <v>0</v>
      </c>
      <c r="AD7" s="4">
        <v>0</v>
      </c>
      <c r="AE7" s="4">
        <v>10568187</v>
      </c>
      <c r="AF7" s="4">
        <v>0</v>
      </c>
      <c r="AG7" s="4">
        <v>0</v>
      </c>
      <c r="AH7" s="4">
        <v>0</v>
      </c>
      <c r="AI7" s="4">
        <v>10568187</v>
      </c>
      <c r="AJ7" s="4">
        <v>0</v>
      </c>
      <c r="AK7" s="4">
        <v>0</v>
      </c>
      <c r="AL7" s="4">
        <v>0</v>
      </c>
      <c r="AM7" s="4">
        <v>10568187</v>
      </c>
      <c r="AN7" s="4">
        <v>0</v>
      </c>
      <c r="AO7" s="4">
        <v>0</v>
      </c>
      <c r="AP7" s="4">
        <v>0</v>
      </c>
      <c r="AQ7" s="4">
        <v>10568187</v>
      </c>
      <c r="AR7" s="4">
        <v>0</v>
      </c>
      <c r="AS7" s="4">
        <v>0</v>
      </c>
      <c r="AT7" s="4">
        <v>0</v>
      </c>
      <c r="AU7" s="4">
        <v>10568187</v>
      </c>
      <c r="AV7" s="4">
        <v>0</v>
      </c>
      <c r="AW7" s="4">
        <v>0</v>
      </c>
      <c r="AX7" s="4">
        <v>0</v>
      </c>
      <c r="AY7" s="4">
        <v>10506815</v>
      </c>
      <c r="AZ7" s="34">
        <v>61372</v>
      </c>
      <c r="BA7" s="4">
        <v>0</v>
      </c>
      <c r="BB7" s="4">
        <v>0</v>
      </c>
      <c r="BC7" s="4">
        <v>10568187</v>
      </c>
      <c r="BD7" s="4">
        <v>0</v>
      </c>
      <c r="BE7" s="4">
        <v>0</v>
      </c>
      <c r="BF7" s="4">
        <v>0</v>
      </c>
      <c r="BG7" s="4">
        <v>10568187</v>
      </c>
      <c r="BH7" s="4">
        <v>0</v>
      </c>
      <c r="BI7" s="4">
        <v>0</v>
      </c>
      <c r="BJ7" s="4">
        <v>0</v>
      </c>
      <c r="BK7" s="4">
        <v>10568187</v>
      </c>
      <c r="BL7" s="4">
        <v>0</v>
      </c>
      <c r="BM7" s="4">
        <v>0</v>
      </c>
      <c r="BN7" s="4">
        <v>0</v>
      </c>
      <c r="BO7" s="4">
        <v>10568187</v>
      </c>
      <c r="BP7" s="4">
        <v>0</v>
      </c>
      <c r="BQ7" s="4">
        <v>0</v>
      </c>
      <c r="BR7" s="4">
        <v>0</v>
      </c>
      <c r="BS7" s="4">
        <v>10568187</v>
      </c>
      <c r="BT7" s="4">
        <v>0</v>
      </c>
      <c r="BU7" s="4">
        <v>0</v>
      </c>
      <c r="BV7" s="4">
        <v>0</v>
      </c>
      <c r="BW7" s="4">
        <v>10568187</v>
      </c>
      <c r="BX7" s="4">
        <v>0</v>
      </c>
      <c r="BY7" s="4">
        <v>0</v>
      </c>
      <c r="BZ7" s="4">
        <v>0</v>
      </c>
      <c r="CA7" s="4">
        <v>10568187</v>
      </c>
      <c r="CB7" s="4">
        <v>0</v>
      </c>
      <c r="CC7" s="4">
        <v>0</v>
      </c>
      <c r="CD7" s="4">
        <v>0</v>
      </c>
      <c r="CE7" s="4">
        <v>10568187</v>
      </c>
      <c r="CF7" s="4">
        <v>0</v>
      </c>
      <c r="CG7" s="4">
        <v>0</v>
      </c>
      <c r="CH7" s="4">
        <v>0</v>
      </c>
      <c r="CI7" s="4">
        <v>10568187</v>
      </c>
      <c r="CJ7" s="4">
        <v>0</v>
      </c>
      <c r="CK7" s="4">
        <v>0</v>
      </c>
      <c r="CL7" s="4">
        <v>0</v>
      </c>
      <c r="CM7" s="4">
        <v>10568187</v>
      </c>
      <c r="CN7" s="4">
        <v>0</v>
      </c>
      <c r="CO7" s="4">
        <v>0</v>
      </c>
      <c r="CP7" s="4">
        <v>0</v>
      </c>
      <c r="CQ7" s="4">
        <v>0</v>
      </c>
      <c r="CR7" s="38">
        <v>10568187</v>
      </c>
      <c r="CS7" s="4">
        <v>0</v>
      </c>
      <c r="CT7" s="4">
        <v>0</v>
      </c>
      <c r="CU7" s="4">
        <v>0</v>
      </c>
      <c r="CV7" s="34">
        <v>10568187</v>
      </c>
      <c r="CW7" s="4">
        <v>0</v>
      </c>
      <c r="CX7" s="4">
        <v>0</v>
      </c>
      <c r="CY7" s="4">
        <v>10568187</v>
      </c>
      <c r="CZ7" s="4">
        <v>0</v>
      </c>
      <c r="DA7" s="4">
        <v>0</v>
      </c>
      <c r="DB7" s="4">
        <v>0</v>
      </c>
      <c r="DC7" s="4">
        <v>10506815</v>
      </c>
      <c r="DD7" s="34">
        <v>61372</v>
      </c>
      <c r="DE7" s="4">
        <v>0</v>
      </c>
      <c r="DF7" s="4">
        <v>0</v>
      </c>
      <c r="DG7" s="4">
        <v>10568187</v>
      </c>
      <c r="DH7" s="4">
        <v>0</v>
      </c>
      <c r="DI7" s="4">
        <v>0</v>
      </c>
      <c r="DJ7" s="4">
        <v>0</v>
      </c>
      <c r="DK7" s="4">
        <v>10568187</v>
      </c>
      <c r="DL7" s="4">
        <v>0</v>
      </c>
      <c r="DM7" s="4">
        <v>0</v>
      </c>
      <c r="DN7" s="4">
        <v>0</v>
      </c>
      <c r="DO7" s="4">
        <v>10568187</v>
      </c>
      <c r="DP7" s="4">
        <v>0</v>
      </c>
      <c r="DQ7" s="4">
        <v>0</v>
      </c>
      <c r="DR7" s="4">
        <v>0</v>
      </c>
      <c r="DS7" s="4">
        <v>109599</v>
      </c>
      <c r="DT7" s="34">
        <v>10458588</v>
      </c>
      <c r="DU7" s="4">
        <v>0</v>
      </c>
      <c r="DV7" s="4">
        <v>0</v>
      </c>
      <c r="DW7" s="4">
        <v>75459</v>
      </c>
      <c r="DX7" s="34">
        <v>10492728</v>
      </c>
      <c r="DY7" s="4">
        <v>0</v>
      </c>
      <c r="DZ7" s="4">
        <v>0</v>
      </c>
      <c r="EA7" s="4">
        <v>5229923</v>
      </c>
      <c r="EB7" s="34">
        <v>5338264</v>
      </c>
      <c r="EC7" s="4">
        <v>0</v>
      </c>
      <c r="ED7" s="4">
        <v>0</v>
      </c>
      <c r="EE7" s="4">
        <v>109599</v>
      </c>
      <c r="EF7" s="34">
        <v>10458588</v>
      </c>
      <c r="EG7" s="4">
        <v>0</v>
      </c>
      <c r="EH7" s="4">
        <v>0</v>
      </c>
      <c r="EI7" s="4">
        <v>0</v>
      </c>
      <c r="EJ7" s="34">
        <v>10568187</v>
      </c>
      <c r="EK7" s="4">
        <v>0</v>
      </c>
      <c r="EL7" s="4">
        <v>0</v>
      </c>
      <c r="EM7" s="4">
        <v>5229923</v>
      </c>
      <c r="EN7" s="34">
        <v>5338264</v>
      </c>
      <c r="EO7" s="4">
        <v>0</v>
      </c>
      <c r="EP7" s="4">
        <v>0</v>
      </c>
      <c r="EQ7" s="4">
        <v>75459</v>
      </c>
      <c r="ER7" s="34">
        <v>10492728</v>
      </c>
      <c r="ES7" s="4">
        <v>0</v>
      </c>
      <c r="ET7" s="4">
        <v>0</v>
      </c>
      <c r="EU7" s="4">
        <v>38969</v>
      </c>
      <c r="EV7" s="34">
        <v>10529218</v>
      </c>
      <c r="EW7" s="4">
        <v>0</v>
      </c>
      <c r="EX7" s="4">
        <v>0</v>
      </c>
      <c r="EY7" s="4">
        <v>0</v>
      </c>
      <c r="EZ7" s="4">
        <v>0</v>
      </c>
      <c r="FA7" s="4">
        <v>0</v>
      </c>
      <c r="FB7" s="34">
        <v>10568187</v>
      </c>
      <c r="FC7" s="4">
        <v>0</v>
      </c>
      <c r="FD7" s="4">
        <v>0</v>
      </c>
      <c r="FE7" s="4">
        <v>0</v>
      </c>
      <c r="FF7" s="34">
        <v>10568187</v>
      </c>
      <c r="FG7" s="4">
        <v>10458582</v>
      </c>
      <c r="FH7" s="4">
        <v>0</v>
      </c>
      <c r="FI7" s="34">
        <v>109605</v>
      </c>
      <c r="FJ7" s="4">
        <v>0</v>
      </c>
      <c r="FK7" s="4">
        <v>10458582</v>
      </c>
      <c r="FL7" s="4">
        <v>0</v>
      </c>
      <c r="FM7" s="34">
        <v>109605</v>
      </c>
      <c r="FN7" s="4">
        <v>0</v>
      </c>
      <c r="FO7" s="4">
        <v>0</v>
      </c>
      <c r="FP7" s="4">
        <v>0</v>
      </c>
      <c r="FQ7" s="34">
        <v>10568187</v>
      </c>
      <c r="FR7" s="4">
        <v>0</v>
      </c>
      <c r="FS7" s="19"/>
    </row>
    <row r="8" spans="2:175" s="19" customFormat="1" x14ac:dyDescent="0.3">
      <c r="B8" t="s">
        <v>111</v>
      </c>
      <c r="C8" s="32"/>
      <c r="D8" s="86"/>
      <c r="E8" s="87"/>
      <c r="F8" s="87"/>
      <c r="G8" s="88">
        <f>($C$7-(H7+I7+J7))/$C$7</f>
        <v>1</v>
      </c>
      <c r="H8" s="89"/>
      <c r="I8" s="89"/>
      <c r="J8" s="89"/>
      <c r="K8" s="88">
        <f>($C$7-(L7+M7+N7))/$C$7</f>
        <v>1</v>
      </c>
      <c r="L8" s="89"/>
      <c r="M8" s="89"/>
      <c r="N8" s="89"/>
      <c r="O8" s="88">
        <f>($C$7-(P7+Q7+R7))/$C$7</f>
        <v>1</v>
      </c>
      <c r="P8" s="89"/>
      <c r="Q8" s="89"/>
      <c r="R8" s="89"/>
      <c r="S8" s="88">
        <f>($C$7-(T7+U7+V7))/$C$7</f>
        <v>1</v>
      </c>
      <c r="T8" s="89"/>
      <c r="U8" s="89"/>
      <c r="V8" s="89"/>
      <c r="W8" s="88">
        <f>($C$7-(X7+Y7+Z7))/$C$7</f>
        <v>1</v>
      </c>
      <c r="X8" s="89"/>
      <c r="Y8" s="89"/>
      <c r="Z8" s="89"/>
      <c r="AA8" s="88">
        <f>($C$7-(AB7+AC7+AD7))/$C$7</f>
        <v>1</v>
      </c>
      <c r="AB8" s="89"/>
      <c r="AC8" s="89"/>
      <c r="AD8" s="89"/>
      <c r="AE8" s="88">
        <f>($C$7-(AF7+AG7+AH7))/$C$7</f>
        <v>1</v>
      </c>
      <c r="AF8" s="89"/>
      <c r="AG8" s="89"/>
      <c r="AH8" s="89"/>
      <c r="AI8" s="88">
        <f>($C$7-(AJ7+AK7+AL7))/$C$7</f>
        <v>1</v>
      </c>
      <c r="AJ8" s="89"/>
      <c r="AK8" s="89"/>
      <c r="AL8" s="89"/>
      <c r="AM8" s="88">
        <f>($C$7-(AN7+AO7+AP7))/$C$7</f>
        <v>1</v>
      </c>
      <c r="AN8" s="89"/>
      <c r="AO8" s="89"/>
      <c r="AP8" s="89"/>
      <c r="AQ8" s="88">
        <f>($C$7-(AR7+AS7+AT7))/$C$7</f>
        <v>1</v>
      </c>
      <c r="AR8" s="89"/>
      <c r="AS8" s="89"/>
      <c r="AT8" s="89"/>
      <c r="AU8" s="88">
        <f>($C$7-(AV7+AW7+AX7))/$C$7</f>
        <v>1</v>
      </c>
      <c r="AV8" s="89"/>
      <c r="AW8" s="89"/>
      <c r="AX8" s="89"/>
      <c r="AY8" s="88">
        <f>($C$7-(AZ7+BA7+BB7))/$C$7</f>
        <v>0.99419275983666833</v>
      </c>
      <c r="AZ8" s="89"/>
      <c r="BA8" s="89"/>
      <c r="BB8" s="89"/>
      <c r="BC8" s="88">
        <f>($C$7-(BD7+BE7+BF7))/$C$7</f>
        <v>1</v>
      </c>
      <c r="BD8" s="89"/>
      <c r="BE8" s="89"/>
      <c r="BF8" s="89"/>
      <c r="BG8" s="88">
        <f>($C$7-(BH7+BI7+BJ7))/$C$7</f>
        <v>1</v>
      </c>
      <c r="BH8" s="89"/>
      <c r="BI8" s="89"/>
      <c r="BJ8" s="89"/>
      <c r="BK8" s="88">
        <f>($C$7-(BL7+BM7+BN7))/$C$7</f>
        <v>1</v>
      </c>
      <c r="BL8" s="89"/>
      <c r="BM8" s="89"/>
      <c r="BN8" s="89"/>
      <c r="BO8" s="88">
        <f>($C$7-(BP7+BQ7+BR7))/$C$7</f>
        <v>1</v>
      </c>
      <c r="BP8" s="89"/>
      <c r="BQ8" s="89"/>
      <c r="BR8" s="89"/>
      <c r="BS8" s="88">
        <f>($C$7-(BT7+BU7+BV7))/$C$7</f>
        <v>1</v>
      </c>
      <c r="BT8" s="89"/>
      <c r="BU8" s="89"/>
      <c r="BV8" s="89"/>
      <c r="BW8" s="88">
        <f>($C$7-(BX7+BY7+BZ7))/$C$7</f>
        <v>1</v>
      </c>
      <c r="BX8" s="89"/>
      <c r="BY8" s="89"/>
      <c r="BZ8" s="89"/>
      <c r="CA8" s="88">
        <f>($C$7-(CB7+CC7+CD7))/$C$7</f>
        <v>1</v>
      </c>
      <c r="CB8" s="89"/>
      <c r="CC8" s="89"/>
      <c r="CD8" s="89"/>
      <c r="CE8" s="88">
        <f>($C$7-(CF7+CG7+CH7))/$C$7</f>
        <v>1</v>
      </c>
      <c r="CF8" s="89"/>
      <c r="CG8" s="89"/>
      <c r="CH8" s="89"/>
      <c r="CI8" s="88">
        <f>($C$7-(CJ7+CK7+CL7))/$C$7</f>
        <v>1</v>
      </c>
      <c r="CJ8" s="89"/>
      <c r="CK8" s="89"/>
      <c r="CL8" s="89"/>
      <c r="CM8" s="88">
        <f>($C$7-(CN7+CO7+CP7))/$C$7</f>
        <v>1</v>
      </c>
      <c r="CN8" s="89"/>
      <c r="CO8" s="89"/>
      <c r="CP8" s="89"/>
      <c r="CQ8" s="88">
        <f>($C$7-(CR7+CS7+CT7))/$C$7</f>
        <v>0</v>
      </c>
      <c r="CR8" s="89"/>
      <c r="CS8" s="89"/>
      <c r="CT8" s="89"/>
      <c r="CU8" s="88">
        <f>($C$7-(CV7+CW7+CX7))/$C$7</f>
        <v>0</v>
      </c>
      <c r="CV8" s="89"/>
      <c r="CW8" s="89"/>
      <c r="CX8" s="89"/>
      <c r="CY8" s="88">
        <f>($C$7-(CZ7+DA7+DB7))/$C$7</f>
        <v>1</v>
      </c>
      <c r="CZ8" s="89"/>
      <c r="DA8" s="89"/>
      <c r="DB8" s="89"/>
      <c r="DC8" s="88">
        <f>($C$7-(DD7+DE7+DF7))/$C$7</f>
        <v>0.99419275983666833</v>
      </c>
      <c r="DD8" s="89"/>
      <c r="DE8" s="89"/>
      <c r="DF8" s="89"/>
      <c r="DG8" s="88">
        <f>($C$7-(DH7+DI7+DJ7))/$C$7</f>
        <v>1</v>
      </c>
      <c r="DH8" s="89"/>
      <c r="DI8" s="89"/>
      <c r="DJ8" s="89"/>
      <c r="DK8" s="88">
        <f>($C$7-(DL7+DM7+DN7))/$C$7</f>
        <v>1</v>
      </c>
      <c r="DL8" s="89"/>
      <c r="DM8" s="89"/>
      <c r="DN8" s="89"/>
      <c r="DO8" s="88">
        <f>($C$7-(DP7+DQ7+DR7))/$C$7</f>
        <v>1</v>
      </c>
      <c r="DP8" s="89"/>
      <c r="DQ8" s="89"/>
      <c r="DR8" s="89"/>
      <c r="DS8" s="88">
        <f>($C$7-(DT7+DU7+DV7))/$C$7</f>
        <v>1.0370652979550797E-2</v>
      </c>
      <c r="DT8" s="89"/>
      <c r="DU8" s="89"/>
      <c r="DV8" s="89"/>
      <c r="DW8" s="88">
        <f>($C$7-(DX7+DY7+DZ7))/$C$7</f>
        <v>7.1402029506101661E-3</v>
      </c>
      <c r="DX8" s="89"/>
      <c r="DY8" s="89"/>
      <c r="DZ8" s="89"/>
      <c r="EA8" s="88">
        <f>($C$7-(EB7+EC7+ED7))/$C$7</f>
        <v>0.49487419176061137</v>
      </c>
      <c r="EB8" s="89"/>
      <c r="EC8" s="89"/>
      <c r="ED8" s="89"/>
      <c r="EE8" s="88">
        <f>($C$7-(EF7+EG7+EH7))/$C$7</f>
        <v>1.0370652979550797E-2</v>
      </c>
      <c r="EF8" s="89"/>
      <c r="EG8" s="89"/>
      <c r="EH8" s="89"/>
      <c r="EI8" s="88">
        <f>($C$7-(EJ7+EK7+EL7))/$C$7</f>
        <v>0</v>
      </c>
      <c r="EJ8" s="89"/>
      <c r="EK8" s="89"/>
      <c r="EL8" s="89"/>
      <c r="EM8" s="88">
        <f>($C$7-(EN7+EO7+EP7))/$C$7</f>
        <v>0.49487419176061137</v>
      </c>
      <c r="EN8" s="89"/>
      <c r="EO8" s="89"/>
      <c r="EP8" s="89"/>
      <c r="EQ8" s="88">
        <f>($C$7-(ER7+ES7+ET7))/$C$7</f>
        <v>7.1402029506101661E-3</v>
      </c>
      <c r="ER8" s="89"/>
      <c r="ES8" s="89"/>
      <c r="ET8" s="89"/>
      <c r="EU8" s="88">
        <f>($C$7-(EV7+EW7+EX7))/$C$7</f>
        <v>3.6873874393025027E-3</v>
      </c>
      <c r="EV8" s="89"/>
      <c r="EW8" s="89"/>
      <c r="EX8" s="89"/>
      <c r="EY8" s="88">
        <f>($C$7-(EZ7+FA7+FB7))/$C$7</f>
        <v>0</v>
      </c>
      <c r="EZ8" s="89"/>
      <c r="FA8" s="89"/>
      <c r="FB8" s="89"/>
      <c r="FC8" s="88">
        <f>($C$7-(FD7+FE7+FF7))/$C$7</f>
        <v>0</v>
      </c>
      <c r="FD8" s="89"/>
      <c r="FE8" s="89"/>
      <c r="FF8" s="89"/>
      <c r="FG8" s="88">
        <f>($C$7-(FH7+FI7+FJ7))/$C$7</f>
        <v>0.98962877927879211</v>
      </c>
      <c r="FH8" s="89"/>
      <c r="FI8" s="89"/>
      <c r="FJ8" s="89"/>
      <c r="FK8" s="88">
        <f>($C$7-(FL7+FM7+FN7))/$C$7</f>
        <v>0.98962877927879211</v>
      </c>
      <c r="FL8" s="89"/>
      <c r="FM8" s="89"/>
      <c r="FN8" s="89"/>
      <c r="FO8" s="88">
        <f>($C$7-(FP7+FQ7+FR7))/$C$7</f>
        <v>0</v>
      </c>
      <c r="FP8" s="89"/>
      <c r="FQ8" s="89"/>
      <c r="FR8" s="89"/>
    </row>
    <row r="9" spans="2:175" s="19" customFormat="1" x14ac:dyDescent="0.3">
      <c r="C9" s="75" t="s">
        <v>133</v>
      </c>
      <c r="D9" s="78" t="s">
        <v>54</v>
      </c>
      <c r="E9" s="79" t="s">
        <v>367</v>
      </c>
      <c r="F9" s="79" t="s">
        <v>367</v>
      </c>
      <c r="G9" s="79" t="s">
        <v>575</v>
      </c>
      <c r="H9" s="80" t="s">
        <v>576</v>
      </c>
      <c r="I9" s="80" t="s">
        <v>577</v>
      </c>
      <c r="J9" s="80" t="s">
        <v>578</v>
      </c>
      <c r="K9" s="80" t="s">
        <v>579</v>
      </c>
      <c r="L9" s="80" t="s">
        <v>580</v>
      </c>
      <c r="M9" s="80" t="s">
        <v>581</v>
      </c>
      <c r="N9" s="9" t="s">
        <v>582</v>
      </c>
      <c r="O9" s="9" t="s">
        <v>583</v>
      </c>
      <c r="P9" s="75" t="s">
        <v>584</v>
      </c>
      <c r="Q9" s="75" t="s">
        <v>585</v>
      </c>
      <c r="R9" s="75" t="s">
        <v>586</v>
      </c>
      <c r="S9" s="19" t="s">
        <v>587</v>
      </c>
      <c r="T9" s="19" t="s">
        <v>588</v>
      </c>
      <c r="U9" s="19" t="s">
        <v>589</v>
      </c>
      <c r="V9" s="19" t="s">
        <v>590</v>
      </c>
      <c r="W9" s="19" t="s">
        <v>591</v>
      </c>
      <c r="X9" s="19" t="s">
        <v>592</v>
      </c>
      <c r="Y9" s="19" t="s">
        <v>593</v>
      </c>
      <c r="Z9" s="19" t="s">
        <v>594</v>
      </c>
      <c r="AA9" s="19" t="s">
        <v>595</v>
      </c>
      <c r="AB9" s="19" t="s">
        <v>596</v>
      </c>
      <c r="AC9" s="19" t="s">
        <v>597</v>
      </c>
      <c r="AD9" s="19" t="s">
        <v>598</v>
      </c>
      <c r="AE9" s="19" t="s">
        <v>599</v>
      </c>
      <c r="AF9" s="19" t="s">
        <v>600</v>
      </c>
      <c r="AG9" s="19" t="s">
        <v>601</v>
      </c>
      <c r="AH9" s="19" t="s">
        <v>602</v>
      </c>
      <c r="AI9" s="19" t="s">
        <v>603</v>
      </c>
      <c r="AJ9" s="19" t="s">
        <v>604</v>
      </c>
      <c r="AK9" s="19" t="s">
        <v>605</v>
      </c>
      <c r="AL9" s="19" t="s">
        <v>606</v>
      </c>
      <c r="AM9" s="19" t="s">
        <v>607</v>
      </c>
      <c r="AN9" s="19" t="s">
        <v>608</v>
      </c>
      <c r="AO9" s="19" t="s">
        <v>609</v>
      </c>
      <c r="AP9" s="19" t="s">
        <v>610</v>
      </c>
      <c r="AQ9" s="19" t="s">
        <v>611</v>
      </c>
      <c r="AR9" s="19" t="s">
        <v>612</v>
      </c>
      <c r="AS9" s="19" t="s">
        <v>613</v>
      </c>
      <c r="AT9" s="19" t="s">
        <v>614</v>
      </c>
      <c r="AU9" s="19" t="s">
        <v>615</v>
      </c>
      <c r="AV9" s="19" t="s">
        <v>616</v>
      </c>
      <c r="AW9" s="19" t="s">
        <v>617</v>
      </c>
      <c r="AX9" s="19" t="s">
        <v>618</v>
      </c>
      <c r="AY9" s="19" t="s">
        <v>619</v>
      </c>
      <c r="AZ9" s="19" t="s">
        <v>620</v>
      </c>
      <c r="BA9" s="19" t="s">
        <v>621</v>
      </c>
      <c r="BB9" s="19" t="s">
        <v>622</v>
      </c>
      <c r="BC9" s="19" t="s">
        <v>623</v>
      </c>
      <c r="BD9" s="19" t="s">
        <v>624</v>
      </c>
      <c r="BE9" s="19" t="s">
        <v>625</v>
      </c>
      <c r="BF9" s="19" t="s">
        <v>626</v>
      </c>
      <c r="BG9" s="19" t="s">
        <v>627</v>
      </c>
      <c r="BH9" s="19" t="s">
        <v>628</v>
      </c>
      <c r="BI9" s="19" t="s">
        <v>629</v>
      </c>
      <c r="BJ9" s="19" t="s">
        <v>630</v>
      </c>
      <c r="BK9" s="19" t="s">
        <v>631</v>
      </c>
      <c r="BL9" s="19" t="s">
        <v>632</v>
      </c>
      <c r="BM9" s="19" t="s">
        <v>633</v>
      </c>
      <c r="BN9" s="19" t="s">
        <v>634</v>
      </c>
      <c r="BO9" s="19" t="s">
        <v>635</v>
      </c>
      <c r="BP9" s="19" t="s">
        <v>636</v>
      </c>
      <c r="BQ9" s="19" t="s">
        <v>637</v>
      </c>
      <c r="BR9" s="19" t="s">
        <v>638</v>
      </c>
      <c r="BS9" s="19" t="s">
        <v>639</v>
      </c>
      <c r="BT9" s="19" t="s">
        <v>640</v>
      </c>
      <c r="BU9" s="19" t="s">
        <v>641</v>
      </c>
      <c r="BV9" s="19" t="s">
        <v>642</v>
      </c>
      <c r="BW9" s="19" t="s">
        <v>643</v>
      </c>
      <c r="BX9" s="19" t="s">
        <v>644</v>
      </c>
      <c r="BY9" s="19" t="s">
        <v>645</v>
      </c>
      <c r="BZ9" s="19" t="s">
        <v>646</v>
      </c>
      <c r="CA9" s="19" t="s">
        <v>647</v>
      </c>
      <c r="CB9" s="19" t="s">
        <v>648</v>
      </c>
      <c r="CC9" s="19" t="s">
        <v>649</v>
      </c>
      <c r="CD9" s="19" t="s">
        <v>650</v>
      </c>
      <c r="CE9" s="19" t="s">
        <v>651</v>
      </c>
      <c r="CF9" s="19" t="s">
        <v>652</v>
      </c>
      <c r="CG9" s="19" t="s">
        <v>653</v>
      </c>
      <c r="CH9" s="19" t="s">
        <v>654</v>
      </c>
      <c r="CI9" s="19" t="s">
        <v>655</v>
      </c>
      <c r="CJ9" s="19" t="s">
        <v>656</v>
      </c>
      <c r="CK9" s="19" t="s">
        <v>657</v>
      </c>
      <c r="CL9" s="19" t="s">
        <v>658</v>
      </c>
      <c r="CM9" s="19" t="s">
        <v>659</v>
      </c>
      <c r="CN9" s="19" t="s">
        <v>660</v>
      </c>
      <c r="CO9" s="19" t="s">
        <v>661</v>
      </c>
      <c r="CP9" s="19" t="s">
        <v>662</v>
      </c>
      <c r="CQ9" s="19" t="s">
        <v>235</v>
      </c>
      <c r="CR9" s="19" t="s">
        <v>236</v>
      </c>
      <c r="CS9" s="19" t="s">
        <v>566</v>
      </c>
      <c r="CT9" s="19" t="s">
        <v>567</v>
      </c>
      <c r="CU9" s="19" t="s">
        <v>663</v>
      </c>
      <c r="CV9" s="19" t="s">
        <v>664</v>
      </c>
      <c r="CW9" s="19" t="s">
        <v>665</v>
      </c>
      <c r="CX9" s="19" t="s">
        <v>666</v>
      </c>
      <c r="CY9" s="19" t="s">
        <v>667</v>
      </c>
      <c r="CZ9" s="19" t="s">
        <v>668</v>
      </c>
      <c r="DA9" s="19" t="s">
        <v>669</v>
      </c>
      <c r="DB9" s="19" t="s">
        <v>670</v>
      </c>
      <c r="DC9" s="19" t="s">
        <v>671</v>
      </c>
      <c r="DD9" s="19" t="s">
        <v>672</v>
      </c>
      <c r="DE9" s="19" t="s">
        <v>673</v>
      </c>
      <c r="DF9" s="19" t="s">
        <v>674</v>
      </c>
      <c r="DG9" s="19" t="s">
        <v>675</v>
      </c>
      <c r="DH9" s="19" t="s">
        <v>676</v>
      </c>
      <c r="DI9" s="19" t="s">
        <v>677</v>
      </c>
      <c r="DJ9" s="19" t="s">
        <v>678</v>
      </c>
      <c r="DK9" s="19" t="s">
        <v>679</v>
      </c>
      <c r="DL9" s="19" t="s">
        <v>680</v>
      </c>
      <c r="DM9" s="19" t="s">
        <v>681</v>
      </c>
      <c r="DN9" s="19" t="s">
        <v>682</v>
      </c>
      <c r="DO9" s="19" t="s">
        <v>683</v>
      </c>
      <c r="DP9" s="19" t="s">
        <v>684</v>
      </c>
      <c r="DQ9" s="19" t="s">
        <v>685</v>
      </c>
      <c r="DR9" s="19" t="s">
        <v>686</v>
      </c>
      <c r="DS9" s="19" t="s">
        <v>687</v>
      </c>
      <c r="DT9" s="19" t="s">
        <v>688</v>
      </c>
      <c r="DU9" s="19" t="s">
        <v>689</v>
      </c>
      <c r="DV9" s="19" t="s">
        <v>690</v>
      </c>
      <c r="DW9" s="19" t="s">
        <v>691</v>
      </c>
      <c r="DX9" s="19" t="s">
        <v>692</v>
      </c>
      <c r="DY9" s="19" t="s">
        <v>693</v>
      </c>
      <c r="DZ9" s="19" t="s">
        <v>694</v>
      </c>
      <c r="EA9" s="19" t="s">
        <v>695</v>
      </c>
      <c r="EB9" s="19" t="s">
        <v>696</v>
      </c>
      <c r="EC9" s="19" t="s">
        <v>697</v>
      </c>
      <c r="ED9" s="19" t="s">
        <v>698</v>
      </c>
      <c r="EE9" s="19" t="s">
        <v>699</v>
      </c>
      <c r="EF9" s="19" t="s">
        <v>700</v>
      </c>
      <c r="EG9" s="19" t="s">
        <v>701</v>
      </c>
      <c r="EH9" s="19" t="s">
        <v>702</v>
      </c>
      <c r="EI9" s="19" t="s">
        <v>703</v>
      </c>
      <c r="EJ9" s="19" t="s">
        <v>704</v>
      </c>
      <c r="EK9" s="19" t="s">
        <v>705</v>
      </c>
      <c r="EL9" s="19" t="s">
        <v>706</v>
      </c>
      <c r="EM9" s="19" t="s">
        <v>707</v>
      </c>
      <c r="EN9" s="19" t="s">
        <v>708</v>
      </c>
      <c r="EO9" s="19" t="s">
        <v>709</v>
      </c>
      <c r="EP9" s="19" t="s">
        <v>710</v>
      </c>
      <c r="EQ9" s="19" t="s">
        <v>711</v>
      </c>
      <c r="ER9" s="19" t="s">
        <v>712</v>
      </c>
      <c r="ES9" s="19" t="s">
        <v>713</v>
      </c>
      <c r="ET9" s="19" t="s">
        <v>714</v>
      </c>
      <c r="EU9" s="19" t="s">
        <v>715</v>
      </c>
      <c r="EV9" s="19" t="s">
        <v>716</v>
      </c>
      <c r="EW9" s="19" t="s">
        <v>717</v>
      </c>
      <c r="EX9" s="19" t="s">
        <v>718</v>
      </c>
      <c r="EY9" s="19" t="s">
        <v>719</v>
      </c>
      <c r="EZ9" s="19" t="s">
        <v>720</v>
      </c>
      <c r="FA9" s="19" t="s">
        <v>721</v>
      </c>
      <c r="FB9" s="19" t="s">
        <v>722</v>
      </c>
      <c r="FC9" s="19" t="s">
        <v>723</v>
      </c>
      <c r="FD9" s="19" t="s">
        <v>724</v>
      </c>
      <c r="FE9" s="19" t="s">
        <v>725</v>
      </c>
      <c r="FF9" s="19" t="s">
        <v>726</v>
      </c>
      <c r="FG9" s="19" t="s">
        <v>727</v>
      </c>
      <c r="FH9" s="19" t="s">
        <v>728</v>
      </c>
      <c r="FI9" s="19" t="s">
        <v>729</v>
      </c>
      <c r="FJ9" s="19" t="s">
        <v>730</v>
      </c>
      <c r="FK9" s="19" t="s">
        <v>731</v>
      </c>
      <c r="FL9" s="19" t="s">
        <v>732</v>
      </c>
      <c r="FM9" s="19" t="s">
        <v>733</v>
      </c>
      <c r="FN9" s="19" t="s">
        <v>734</v>
      </c>
      <c r="FO9" s="19" t="s">
        <v>735</v>
      </c>
      <c r="FP9" s="19" t="s">
        <v>736</v>
      </c>
      <c r="FQ9" s="19" t="s">
        <v>737</v>
      </c>
      <c r="FR9" s="19" t="s">
        <v>738</v>
      </c>
    </row>
    <row r="10" spans="2:175" s="19" customFormat="1" x14ac:dyDescent="0.3">
      <c r="C10" s="19" t="s">
        <v>361</v>
      </c>
      <c r="D10" s="107" t="s">
        <v>183</v>
      </c>
      <c r="E10" s="108" t="s">
        <v>739</v>
      </c>
      <c r="F10" s="108" t="s">
        <v>741</v>
      </c>
      <c r="G10" s="108" t="s">
        <v>361</v>
      </c>
      <c r="H10" s="109">
        <v>0</v>
      </c>
      <c r="I10" s="109">
        <v>0</v>
      </c>
      <c r="J10" s="109">
        <v>0</v>
      </c>
      <c r="K10" s="109">
        <v>10568187</v>
      </c>
      <c r="L10" s="109">
        <v>0</v>
      </c>
      <c r="M10" s="109">
        <v>0</v>
      </c>
      <c r="N10" s="110">
        <v>0</v>
      </c>
      <c r="O10" s="110">
        <v>10568187</v>
      </c>
      <c r="P10" s="19" t="s">
        <v>404</v>
      </c>
      <c r="Q10" s="19" t="s">
        <v>404</v>
      </c>
      <c r="R10" s="19" t="s">
        <v>404</v>
      </c>
      <c r="S10" s="19" t="s">
        <v>361</v>
      </c>
      <c r="T10" s="19" t="s">
        <v>404</v>
      </c>
      <c r="U10" s="19" t="s">
        <v>404</v>
      </c>
      <c r="V10" s="19" t="s">
        <v>404</v>
      </c>
      <c r="W10" s="19" t="s">
        <v>361</v>
      </c>
      <c r="X10" s="19" t="s">
        <v>404</v>
      </c>
      <c r="Y10" s="19" t="s">
        <v>404</v>
      </c>
      <c r="Z10" s="19" t="s">
        <v>404</v>
      </c>
      <c r="AA10" s="19" t="s">
        <v>361</v>
      </c>
      <c r="AB10" s="19" t="s">
        <v>404</v>
      </c>
      <c r="AC10" s="19" t="s">
        <v>404</v>
      </c>
      <c r="AD10" s="19" t="s">
        <v>404</v>
      </c>
      <c r="AE10" s="19" t="s">
        <v>361</v>
      </c>
      <c r="AF10" s="19" t="s">
        <v>404</v>
      </c>
      <c r="AG10" s="19" t="s">
        <v>404</v>
      </c>
      <c r="AH10" s="19" t="s">
        <v>404</v>
      </c>
      <c r="AI10" s="19" t="s">
        <v>361</v>
      </c>
      <c r="AJ10" s="19" t="s">
        <v>404</v>
      </c>
      <c r="AK10" s="19" t="s">
        <v>404</v>
      </c>
      <c r="AL10" s="19" t="s">
        <v>404</v>
      </c>
      <c r="AM10" s="19" t="s">
        <v>361</v>
      </c>
      <c r="AN10" s="19" t="s">
        <v>404</v>
      </c>
      <c r="AO10" s="19" t="s">
        <v>404</v>
      </c>
      <c r="AP10" s="19" t="s">
        <v>404</v>
      </c>
      <c r="AQ10" s="19" t="s">
        <v>361</v>
      </c>
      <c r="AR10" s="19" t="s">
        <v>404</v>
      </c>
      <c r="AS10" s="19" t="s">
        <v>404</v>
      </c>
      <c r="AT10" s="19" t="s">
        <v>404</v>
      </c>
      <c r="AU10" s="19" t="s">
        <v>361</v>
      </c>
      <c r="AV10" s="19" t="s">
        <v>404</v>
      </c>
      <c r="AW10" s="19" t="s">
        <v>404</v>
      </c>
      <c r="AX10" s="19" t="s">
        <v>404</v>
      </c>
      <c r="AY10" s="19" t="s">
        <v>361</v>
      </c>
      <c r="AZ10" s="19" t="s">
        <v>404</v>
      </c>
      <c r="BA10" s="19" t="s">
        <v>404</v>
      </c>
      <c r="BB10" s="19" t="s">
        <v>404</v>
      </c>
      <c r="BC10" s="19" t="s">
        <v>361</v>
      </c>
      <c r="BD10" s="19" t="s">
        <v>404</v>
      </c>
      <c r="BE10" s="19" t="s">
        <v>404</v>
      </c>
      <c r="BF10" s="19" t="s">
        <v>404</v>
      </c>
      <c r="BG10" s="19" t="s">
        <v>361</v>
      </c>
      <c r="BH10" s="19" t="s">
        <v>404</v>
      </c>
      <c r="BI10" s="19" t="s">
        <v>404</v>
      </c>
      <c r="BJ10" s="19" t="s">
        <v>404</v>
      </c>
      <c r="BK10" s="19" t="s">
        <v>361</v>
      </c>
      <c r="BL10" s="19" t="s">
        <v>404</v>
      </c>
      <c r="BM10" s="19" t="s">
        <v>404</v>
      </c>
      <c r="BN10" s="19" t="s">
        <v>404</v>
      </c>
      <c r="BO10" s="19" t="s">
        <v>361</v>
      </c>
      <c r="BP10" s="19" t="s">
        <v>404</v>
      </c>
      <c r="BQ10" s="19" t="s">
        <v>404</v>
      </c>
      <c r="BR10" s="19" t="s">
        <v>404</v>
      </c>
      <c r="BS10" s="19" t="s">
        <v>361</v>
      </c>
      <c r="BT10" s="19" t="s">
        <v>404</v>
      </c>
      <c r="BU10" s="19" t="s">
        <v>404</v>
      </c>
      <c r="BV10" s="19" t="s">
        <v>404</v>
      </c>
      <c r="BW10" s="19" t="s">
        <v>361</v>
      </c>
      <c r="BX10" s="19" t="s">
        <v>404</v>
      </c>
      <c r="BY10" s="19" t="s">
        <v>404</v>
      </c>
      <c r="BZ10" s="19" t="s">
        <v>404</v>
      </c>
      <c r="CA10" s="19" t="s">
        <v>361</v>
      </c>
      <c r="CB10" s="19" t="s">
        <v>404</v>
      </c>
      <c r="CC10" s="19" t="s">
        <v>404</v>
      </c>
      <c r="CD10" s="19" t="s">
        <v>404</v>
      </c>
      <c r="CE10" s="19" t="s">
        <v>361</v>
      </c>
      <c r="CF10" s="19" t="s">
        <v>404</v>
      </c>
      <c r="CG10" s="19" t="s">
        <v>404</v>
      </c>
      <c r="CH10" s="19" t="s">
        <v>404</v>
      </c>
      <c r="CI10" s="19" t="s">
        <v>361</v>
      </c>
      <c r="CJ10" s="19" t="s">
        <v>404</v>
      </c>
      <c r="CK10" s="19" t="s">
        <v>404</v>
      </c>
      <c r="CL10" s="19" t="s">
        <v>404</v>
      </c>
      <c r="CM10" s="19" t="s">
        <v>361</v>
      </c>
      <c r="CN10" s="19" t="s">
        <v>404</v>
      </c>
      <c r="CO10" s="19" t="s">
        <v>404</v>
      </c>
      <c r="CP10" s="19" t="s">
        <v>404</v>
      </c>
      <c r="CQ10" s="19" t="s">
        <v>404</v>
      </c>
      <c r="CR10" s="19" t="s">
        <v>361</v>
      </c>
      <c r="CS10" s="19" t="s">
        <v>404</v>
      </c>
      <c r="CT10" s="19" t="s">
        <v>404</v>
      </c>
      <c r="CU10" s="19" t="s">
        <v>404</v>
      </c>
      <c r="CV10" s="19" t="s">
        <v>361</v>
      </c>
      <c r="CW10" s="19" t="s">
        <v>404</v>
      </c>
      <c r="CX10" s="19" t="s">
        <v>404</v>
      </c>
      <c r="CY10" s="19" t="s">
        <v>361</v>
      </c>
      <c r="CZ10" s="19" t="s">
        <v>404</v>
      </c>
      <c r="DA10" s="19" t="s">
        <v>404</v>
      </c>
      <c r="DB10" s="19" t="s">
        <v>404</v>
      </c>
      <c r="DC10" s="19" t="s">
        <v>361</v>
      </c>
      <c r="DD10" s="19" t="s">
        <v>404</v>
      </c>
      <c r="DE10" s="19" t="s">
        <v>404</v>
      </c>
      <c r="DF10" s="19" t="s">
        <v>404</v>
      </c>
      <c r="DG10" s="19" t="s">
        <v>361</v>
      </c>
      <c r="DH10" s="19" t="s">
        <v>404</v>
      </c>
      <c r="DI10" s="19" t="s">
        <v>404</v>
      </c>
      <c r="DJ10" s="19" t="s">
        <v>404</v>
      </c>
      <c r="DK10" s="19" t="s">
        <v>361</v>
      </c>
      <c r="DL10" s="19" t="s">
        <v>404</v>
      </c>
      <c r="DM10" s="19" t="s">
        <v>404</v>
      </c>
      <c r="DN10" s="19" t="s">
        <v>404</v>
      </c>
      <c r="DO10" s="19" t="s">
        <v>361</v>
      </c>
      <c r="DP10" s="19" t="s">
        <v>404</v>
      </c>
      <c r="DQ10" s="19" t="s">
        <v>404</v>
      </c>
      <c r="DR10" s="19" t="s">
        <v>404</v>
      </c>
      <c r="DS10" s="19" t="s">
        <v>742</v>
      </c>
      <c r="DT10" s="19" t="s">
        <v>743</v>
      </c>
      <c r="DU10" s="19" t="s">
        <v>404</v>
      </c>
      <c r="DV10" s="19" t="s">
        <v>404</v>
      </c>
      <c r="DW10" s="19" t="s">
        <v>744</v>
      </c>
      <c r="DX10" s="19" t="s">
        <v>745</v>
      </c>
      <c r="DY10" s="19" t="s">
        <v>404</v>
      </c>
      <c r="DZ10" s="19" t="s">
        <v>404</v>
      </c>
      <c r="EA10" s="19" t="s">
        <v>746</v>
      </c>
      <c r="EB10" s="19" t="s">
        <v>747</v>
      </c>
      <c r="EC10" s="19" t="s">
        <v>404</v>
      </c>
      <c r="ED10" s="19" t="s">
        <v>404</v>
      </c>
      <c r="EE10" s="19" t="s">
        <v>742</v>
      </c>
      <c r="EF10" s="19" t="s">
        <v>743</v>
      </c>
      <c r="EG10" s="19" t="s">
        <v>404</v>
      </c>
      <c r="EH10" s="19" t="s">
        <v>404</v>
      </c>
      <c r="EI10" s="19" t="s">
        <v>404</v>
      </c>
      <c r="EJ10" s="19" t="s">
        <v>361</v>
      </c>
      <c r="EK10" s="19" t="s">
        <v>404</v>
      </c>
      <c r="EL10" s="19" t="s">
        <v>404</v>
      </c>
      <c r="EM10" s="19" t="s">
        <v>746</v>
      </c>
      <c r="EN10" s="19" t="s">
        <v>747</v>
      </c>
      <c r="EO10" s="19" t="s">
        <v>404</v>
      </c>
      <c r="EP10" s="19" t="s">
        <v>404</v>
      </c>
      <c r="EQ10" s="19" t="s">
        <v>744</v>
      </c>
      <c r="ER10" s="19" t="s">
        <v>745</v>
      </c>
      <c r="ES10" s="19" t="s">
        <v>404</v>
      </c>
      <c r="ET10" s="19" t="s">
        <v>404</v>
      </c>
      <c r="EU10" s="19" t="s">
        <v>748</v>
      </c>
      <c r="EV10" s="19" t="s">
        <v>749</v>
      </c>
      <c r="EW10" s="19" t="s">
        <v>404</v>
      </c>
      <c r="EX10" s="19" t="s">
        <v>404</v>
      </c>
      <c r="EY10" s="19" t="s">
        <v>404</v>
      </c>
      <c r="EZ10" s="19" t="s">
        <v>404</v>
      </c>
      <c r="FA10" s="19" t="s">
        <v>404</v>
      </c>
      <c r="FB10" s="19" t="s">
        <v>361</v>
      </c>
      <c r="FC10" s="19" t="s">
        <v>404</v>
      </c>
      <c r="FD10" s="19" t="s">
        <v>404</v>
      </c>
      <c r="FE10" s="19" t="s">
        <v>404</v>
      </c>
      <c r="FF10" s="19" t="s">
        <v>361</v>
      </c>
      <c r="FG10" s="19" t="s">
        <v>750</v>
      </c>
      <c r="FH10" s="19" t="s">
        <v>404</v>
      </c>
      <c r="FI10" s="19" t="s">
        <v>751</v>
      </c>
      <c r="FJ10" s="19" t="s">
        <v>404</v>
      </c>
      <c r="FK10" s="19" t="s">
        <v>750</v>
      </c>
      <c r="FL10" s="19" t="s">
        <v>404</v>
      </c>
      <c r="FM10" s="19" t="s">
        <v>751</v>
      </c>
      <c r="FN10" s="19" t="s">
        <v>404</v>
      </c>
      <c r="FO10" s="19" t="s">
        <v>404</v>
      </c>
      <c r="FP10" s="19" t="s">
        <v>404</v>
      </c>
      <c r="FQ10" s="19" t="s">
        <v>361</v>
      </c>
      <c r="FR10" s="19" t="s">
        <v>404</v>
      </c>
    </row>
    <row r="11" spans="2:175" s="19" customFormat="1" x14ac:dyDescent="0.3">
      <c r="D11" s="107"/>
      <c r="E11" s="108"/>
      <c r="F11" s="108"/>
      <c r="G11" s="108"/>
      <c r="H11" s="109"/>
      <c r="I11" s="109"/>
      <c r="J11" s="109"/>
      <c r="K11" s="109"/>
      <c r="L11" s="109"/>
      <c r="M11" s="109"/>
      <c r="N11" s="110"/>
      <c r="O11" s="110"/>
    </row>
    <row r="12" spans="2:175" x14ac:dyDescent="0.3">
      <c r="C12" s="3" t="s">
        <v>113</v>
      </c>
      <c r="D12" s="3"/>
      <c r="E12" s="3"/>
      <c r="F12" s="3"/>
      <c r="G12" s="3"/>
      <c r="H12" s="3"/>
      <c r="I12" s="3"/>
      <c r="J12" s="3"/>
      <c r="K12" s="3"/>
      <c r="L12" s="3"/>
      <c r="M12" s="3"/>
      <c r="N12" s="3"/>
      <c r="O12" s="3"/>
      <c r="P12" s="3"/>
    </row>
    <row r="13" spans="2:175" x14ac:dyDescent="0.3">
      <c r="CU13" s="32" t="s">
        <v>620</v>
      </c>
      <c r="CV13" s="32" t="s">
        <v>664</v>
      </c>
      <c r="CW13" s="32" t="s">
        <v>672</v>
      </c>
      <c r="CX13" s="32" t="s">
        <v>688</v>
      </c>
      <c r="CY13" s="32" t="s">
        <v>692</v>
      </c>
      <c r="CZ13" s="32" t="s">
        <v>696</v>
      </c>
      <c r="DA13" s="32" t="s">
        <v>700</v>
      </c>
      <c r="DB13" s="32" t="s">
        <v>704</v>
      </c>
      <c r="DC13" s="32" t="s">
        <v>708</v>
      </c>
      <c r="DD13" s="32" t="s">
        <v>712</v>
      </c>
      <c r="DE13" s="32" t="s">
        <v>716</v>
      </c>
      <c r="DF13" s="32" t="s">
        <v>722</v>
      </c>
      <c r="DG13" s="32" t="s">
        <v>726</v>
      </c>
      <c r="DH13" s="32" t="s">
        <v>729</v>
      </c>
      <c r="DI13" s="32" t="s">
        <v>733</v>
      </c>
      <c r="DJ13" s="32" t="s">
        <v>737</v>
      </c>
    </row>
    <row r="14" spans="2:175" x14ac:dyDescent="0.3">
      <c r="C14" s="81" t="s">
        <v>114</v>
      </c>
      <c r="CU14" s="7">
        <v>61372</v>
      </c>
      <c r="CV14" s="7">
        <v>10568187</v>
      </c>
      <c r="CW14" s="7">
        <v>61372</v>
      </c>
      <c r="CX14" s="7">
        <v>10458588</v>
      </c>
      <c r="CY14" s="7">
        <v>10492728</v>
      </c>
      <c r="CZ14" s="7">
        <v>5338264</v>
      </c>
      <c r="DA14" s="7">
        <v>10458588</v>
      </c>
      <c r="DB14" s="7">
        <v>10568187</v>
      </c>
      <c r="DC14" s="7">
        <v>5338264</v>
      </c>
      <c r="DD14" s="7">
        <v>10492728</v>
      </c>
      <c r="DE14" s="7">
        <v>10529218</v>
      </c>
      <c r="DF14" s="7">
        <v>10568187</v>
      </c>
      <c r="DG14" s="7">
        <v>10568187</v>
      </c>
      <c r="DH14" s="7">
        <v>109605</v>
      </c>
      <c r="DI14" s="7">
        <v>109605</v>
      </c>
      <c r="DJ14" s="7">
        <v>10568187</v>
      </c>
    </row>
    <row r="16" spans="2:175" x14ac:dyDescent="0.3">
      <c r="C16" s="81" t="s">
        <v>116</v>
      </c>
    </row>
    <row r="17" spans="3:16" ht="14.4" customHeight="1" x14ac:dyDescent="0.3">
      <c r="D17" s="116" t="s">
        <v>752</v>
      </c>
      <c r="E17" s="117"/>
      <c r="F17" s="117"/>
      <c r="G17" s="117"/>
      <c r="H17" s="117"/>
      <c r="I17" s="117"/>
      <c r="J17" s="117"/>
      <c r="K17" s="117"/>
      <c r="L17" s="117"/>
      <c r="M17" s="117"/>
      <c r="N17" s="117"/>
      <c r="O17" s="22"/>
      <c r="P17" s="22"/>
    </row>
    <row r="18" spans="3:16" x14ac:dyDescent="0.3">
      <c r="C18" s="21" t="s">
        <v>118</v>
      </c>
    </row>
    <row r="19" spans="3:16" x14ac:dyDescent="0.3">
      <c r="D19" s="115"/>
      <c r="E19" s="115"/>
      <c r="F19" s="115"/>
      <c r="G19" s="115"/>
      <c r="H19" s="115"/>
      <c r="I19" s="115"/>
      <c r="J19" s="115"/>
      <c r="K19" s="115"/>
      <c r="L19" s="115"/>
      <c r="M19" s="115"/>
      <c r="N19" s="115"/>
      <c r="O19" s="115"/>
      <c r="P19" s="115"/>
    </row>
    <row r="20" spans="3:16" x14ac:dyDescent="0.3">
      <c r="C20" s="21" t="s">
        <v>119</v>
      </c>
    </row>
    <row r="21" spans="3:16" x14ac:dyDescent="0.3">
      <c r="D21" s="115"/>
      <c r="E21" s="115"/>
      <c r="F21" s="115"/>
      <c r="G21" s="115"/>
      <c r="H21" s="115"/>
      <c r="I21" s="115"/>
      <c r="J21" s="115"/>
      <c r="K21" s="115"/>
      <c r="L21" s="115"/>
      <c r="M21" s="115"/>
      <c r="N21" s="115"/>
      <c r="O21" s="115"/>
      <c r="P21" s="115"/>
    </row>
    <row r="22" spans="3:16" x14ac:dyDescent="0.3">
      <c r="D22" s="22"/>
      <c r="E22" s="22"/>
      <c r="F22" s="22"/>
      <c r="G22" s="22"/>
      <c r="H22" s="22"/>
      <c r="I22" s="22"/>
      <c r="J22" s="22"/>
      <c r="K22" s="22"/>
      <c r="L22" s="22"/>
      <c r="M22" s="22"/>
      <c r="N22" s="22"/>
      <c r="O22" s="22"/>
      <c r="P22" s="22"/>
    </row>
    <row r="23" spans="3:16" x14ac:dyDescent="0.3">
      <c r="C23" s="3" t="s">
        <v>120</v>
      </c>
      <c r="D23" s="23"/>
      <c r="E23" s="23"/>
      <c r="F23" s="3"/>
      <c r="G23" s="3"/>
      <c r="H23" s="3"/>
      <c r="I23" s="3"/>
      <c r="J23" s="3"/>
      <c r="K23" s="3"/>
      <c r="L23" s="3"/>
      <c r="M23" s="3"/>
      <c r="N23" s="3"/>
      <c r="O23" s="3"/>
      <c r="P23" s="3"/>
    </row>
    <row r="25" spans="3:16" x14ac:dyDescent="0.3">
      <c r="C25" s="32" t="s">
        <v>620</v>
      </c>
      <c r="D25" s="7">
        <v>61372</v>
      </c>
    </row>
    <row r="26" spans="3:16" x14ac:dyDescent="0.3">
      <c r="C26" s="32" t="s">
        <v>664</v>
      </c>
      <c r="D26" s="7">
        <v>10568187</v>
      </c>
    </row>
    <row r="27" spans="3:16" x14ac:dyDescent="0.3">
      <c r="C27" s="32" t="s">
        <v>672</v>
      </c>
      <c r="D27" s="7">
        <v>61372</v>
      </c>
    </row>
    <row r="28" spans="3:16" x14ac:dyDescent="0.3">
      <c r="C28" s="32" t="s">
        <v>688</v>
      </c>
      <c r="D28" s="7">
        <v>10458588</v>
      </c>
    </row>
    <row r="29" spans="3:16" x14ac:dyDescent="0.3">
      <c r="C29" s="32" t="s">
        <v>692</v>
      </c>
      <c r="D29" s="7">
        <v>10492728</v>
      </c>
    </row>
    <row r="30" spans="3:16" x14ac:dyDescent="0.3">
      <c r="C30" s="32" t="s">
        <v>696</v>
      </c>
      <c r="D30" s="7">
        <v>5338264</v>
      </c>
    </row>
    <row r="31" spans="3:16" x14ac:dyDescent="0.3">
      <c r="C31" s="32" t="s">
        <v>700</v>
      </c>
      <c r="D31" s="7">
        <v>10458588</v>
      </c>
    </row>
    <row r="32" spans="3:16" x14ac:dyDescent="0.3">
      <c r="C32" s="32" t="s">
        <v>704</v>
      </c>
      <c r="D32" s="7">
        <v>10568187</v>
      </c>
    </row>
    <row r="33" spans="3:16" x14ac:dyDescent="0.3">
      <c r="C33" s="32" t="s">
        <v>708</v>
      </c>
      <c r="D33" s="7">
        <v>5338264</v>
      </c>
    </row>
    <row r="34" spans="3:16" x14ac:dyDescent="0.3">
      <c r="C34" s="32" t="s">
        <v>712</v>
      </c>
      <c r="D34" s="7">
        <v>10492728</v>
      </c>
    </row>
    <row r="35" spans="3:16" x14ac:dyDescent="0.3">
      <c r="C35" s="32" t="s">
        <v>716</v>
      </c>
      <c r="D35" s="7">
        <v>10529218</v>
      </c>
    </row>
    <row r="36" spans="3:16" x14ac:dyDescent="0.3">
      <c r="C36" s="32" t="s">
        <v>722</v>
      </c>
      <c r="D36" s="7">
        <v>10568187</v>
      </c>
    </row>
    <row r="37" spans="3:16" x14ac:dyDescent="0.3">
      <c r="C37" s="32" t="s">
        <v>726</v>
      </c>
      <c r="D37" s="7">
        <v>10568187</v>
      </c>
    </row>
    <row r="38" spans="3:16" x14ac:dyDescent="0.3">
      <c r="C38" s="32" t="s">
        <v>729</v>
      </c>
      <c r="D38" s="7">
        <v>109605</v>
      </c>
    </row>
    <row r="39" spans="3:16" x14ac:dyDescent="0.3">
      <c r="C39" s="32" t="s">
        <v>733</v>
      </c>
      <c r="D39" s="7">
        <v>109605</v>
      </c>
    </row>
    <row r="40" spans="3:16" x14ac:dyDescent="0.3">
      <c r="C40" s="32" t="s">
        <v>737</v>
      </c>
      <c r="D40" s="7">
        <v>10568187</v>
      </c>
    </row>
    <row r="42" spans="3:16" x14ac:dyDescent="0.3">
      <c r="C42" s="3" t="s">
        <v>121</v>
      </c>
      <c r="D42" s="3"/>
      <c r="E42" s="3"/>
      <c r="F42" s="3"/>
      <c r="G42" s="3"/>
      <c r="H42" s="3"/>
      <c r="I42" s="3"/>
      <c r="J42" s="3"/>
      <c r="K42" s="3"/>
      <c r="L42" s="3"/>
      <c r="M42" s="3"/>
      <c r="N42" s="3"/>
      <c r="O42" s="3"/>
      <c r="P42" s="3"/>
    </row>
    <row r="44" spans="3:16" x14ac:dyDescent="0.3">
      <c r="C44" t="s">
        <v>753</v>
      </c>
    </row>
    <row r="45" spans="3:16" x14ac:dyDescent="0.3">
      <c r="C45" t="s">
        <v>754</v>
      </c>
    </row>
    <row r="46" spans="3:16" x14ac:dyDescent="0.3">
      <c r="C46" t="s">
        <v>755</v>
      </c>
    </row>
    <row r="47" spans="3:16" x14ac:dyDescent="0.3">
      <c r="C47" t="s">
        <v>756</v>
      </c>
    </row>
    <row r="48" spans="3:16" x14ac:dyDescent="0.3">
      <c r="C48" t="s">
        <v>757</v>
      </c>
    </row>
    <row r="49" spans="3:3" x14ac:dyDescent="0.3">
      <c r="C49" t="s">
        <v>758</v>
      </c>
    </row>
    <row r="50" spans="3:3" x14ac:dyDescent="0.3">
      <c r="C50" t="s">
        <v>759</v>
      </c>
    </row>
    <row r="51" spans="3:3" x14ac:dyDescent="0.3">
      <c r="C51" t="s">
        <v>760</v>
      </c>
    </row>
    <row r="52" spans="3:3" x14ac:dyDescent="0.3">
      <c r="C52" t="s">
        <v>761</v>
      </c>
    </row>
    <row r="53" spans="3:3" x14ac:dyDescent="0.3">
      <c r="C53" t="s">
        <v>762</v>
      </c>
    </row>
    <row r="54" spans="3:3" x14ac:dyDescent="0.3">
      <c r="C54" t="s">
        <v>763</v>
      </c>
    </row>
    <row r="55" spans="3:3" x14ac:dyDescent="0.3">
      <c r="C55" t="s">
        <v>764</v>
      </c>
    </row>
    <row r="56" spans="3:3" x14ac:dyDescent="0.3">
      <c r="C56" t="s">
        <v>765</v>
      </c>
    </row>
    <row r="57" spans="3:3" x14ac:dyDescent="0.3">
      <c r="C57" t="s">
        <v>766</v>
      </c>
    </row>
    <row r="58" spans="3:3" x14ac:dyDescent="0.3">
      <c r="C58" t="s">
        <v>767</v>
      </c>
    </row>
    <row r="59" spans="3:3" x14ac:dyDescent="0.3">
      <c r="C59" t="s">
        <v>766</v>
      </c>
    </row>
    <row r="60" spans="3:3" x14ac:dyDescent="0.3">
      <c r="C60" t="s">
        <v>768</v>
      </c>
    </row>
    <row r="61" spans="3:3" x14ac:dyDescent="0.3">
      <c r="C61" t="s">
        <v>769</v>
      </c>
    </row>
    <row r="62" spans="3:3" x14ac:dyDescent="0.3">
      <c r="C62" t="s">
        <v>770</v>
      </c>
    </row>
    <row r="63" spans="3:3" x14ac:dyDescent="0.3">
      <c r="C63" t="s">
        <v>767</v>
      </c>
    </row>
    <row r="64" spans="3:3" x14ac:dyDescent="0.3">
      <c r="C64" t="s">
        <v>771</v>
      </c>
    </row>
    <row r="65" spans="3:52" x14ac:dyDescent="0.3">
      <c r="C65" t="s">
        <v>772</v>
      </c>
    </row>
    <row r="66" spans="3:52" x14ac:dyDescent="0.3">
      <c r="C66" t="s">
        <v>773</v>
      </c>
    </row>
    <row r="67" spans="3:52" x14ac:dyDescent="0.3">
      <c r="C67" t="s">
        <v>774</v>
      </c>
    </row>
    <row r="68" spans="3:52" x14ac:dyDescent="0.3">
      <c r="C68" t="s">
        <v>775</v>
      </c>
    </row>
    <row r="69" spans="3:52" x14ac:dyDescent="0.3">
      <c r="C69" t="s">
        <v>776</v>
      </c>
    </row>
    <row r="71" spans="3:52" x14ac:dyDescent="0.3">
      <c r="C71" s="19" t="s">
        <v>777</v>
      </c>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row>
    <row r="72" spans="3:52" x14ac:dyDescent="0.3">
      <c r="C72" s="32" t="s">
        <v>54</v>
      </c>
      <c r="D72" s="32" t="s">
        <v>390</v>
      </c>
      <c r="E72" s="32" t="s">
        <v>367</v>
      </c>
      <c r="F72" s="32" t="s">
        <v>367</v>
      </c>
      <c r="G72" s="32" t="s">
        <v>133</v>
      </c>
      <c r="H72" s="32" t="s">
        <v>778</v>
      </c>
      <c r="I72" s="32" t="s">
        <v>779</v>
      </c>
      <c r="J72" s="32" t="s">
        <v>780</v>
      </c>
      <c r="K72" s="32" t="s">
        <v>781</v>
      </c>
      <c r="L72" s="32" t="s">
        <v>782</v>
      </c>
      <c r="M72" s="32" t="s">
        <v>783</v>
      </c>
      <c r="N72" s="32" t="s">
        <v>784</v>
      </c>
      <c r="O72" s="32" t="s">
        <v>785</v>
      </c>
      <c r="P72" s="32" t="s">
        <v>786</v>
      </c>
      <c r="Q72" s="32" t="s">
        <v>787</v>
      </c>
      <c r="R72" s="32" t="s">
        <v>788</v>
      </c>
      <c r="S72" s="32" t="s">
        <v>789</v>
      </c>
      <c r="T72" s="32" t="s">
        <v>790</v>
      </c>
      <c r="U72" s="32" t="s">
        <v>791</v>
      </c>
      <c r="V72" s="32" t="s">
        <v>792</v>
      </c>
      <c r="W72" s="32" t="s">
        <v>793</v>
      </c>
      <c r="X72" s="32" t="s">
        <v>794</v>
      </c>
      <c r="Y72" s="32" t="s">
        <v>795</v>
      </c>
      <c r="Z72" s="32" t="s">
        <v>796</v>
      </c>
      <c r="AA72" s="32" t="s">
        <v>797</v>
      </c>
      <c r="AB72" s="32" t="s">
        <v>798</v>
      </c>
      <c r="AC72" s="32" t="s">
        <v>799</v>
      </c>
      <c r="AD72" s="32" t="s">
        <v>800</v>
      </c>
      <c r="AE72" s="32" t="s">
        <v>801</v>
      </c>
      <c r="AF72" s="32" t="s">
        <v>802</v>
      </c>
      <c r="AG72" s="32" t="s">
        <v>803</v>
      </c>
      <c r="AH72" s="32" t="s">
        <v>804</v>
      </c>
      <c r="AI72" s="32" t="s">
        <v>805</v>
      </c>
      <c r="AJ72" s="32" t="s">
        <v>806</v>
      </c>
      <c r="AK72" s="32" t="s">
        <v>807</v>
      </c>
      <c r="AL72" s="32" t="s">
        <v>808</v>
      </c>
      <c r="AM72" s="32" t="s">
        <v>809</v>
      </c>
      <c r="AN72" s="32" t="s">
        <v>530</v>
      </c>
      <c r="AO72" s="35" t="s">
        <v>531</v>
      </c>
      <c r="AP72" s="32" t="s">
        <v>810</v>
      </c>
      <c r="AQ72" s="32" t="s">
        <v>811</v>
      </c>
      <c r="AR72" s="32" t="s">
        <v>812</v>
      </c>
      <c r="AS72" s="32" t="s">
        <v>813</v>
      </c>
      <c r="AT72" s="32" t="s">
        <v>814</v>
      </c>
      <c r="AU72" s="32" t="s">
        <v>815</v>
      </c>
      <c r="AV72" s="32" t="s">
        <v>816</v>
      </c>
      <c r="AW72" s="32" t="s">
        <v>817</v>
      </c>
      <c r="AX72" s="32" t="s">
        <v>818</v>
      </c>
      <c r="AY72" s="32" t="s">
        <v>819</v>
      </c>
      <c r="AZ72" s="4"/>
    </row>
    <row r="73" spans="3:52" x14ac:dyDescent="0.3">
      <c r="C73" s="32" t="s">
        <v>183</v>
      </c>
      <c r="D73" s="32" t="s">
        <v>403</v>
      </c>
      <c r="E73" s="32" t="s">
        <v>740</v>
      </c>
      <c r="F73" s="32" t="s">
        <v>571</v>
      </c>
      <c r="G73" s="4">
        <v>10568187</v>
      </c>
      <c r="H73" s="90">
        <v>10568187</v>
      </c>
      <c r="I73" s="4">
        <v>0</v>
      </c>
      <c r="J73" s="4">
        <v>0</v>
      </c>
      <c r="K73" s="4">
        <v>0</v>
      </c>
      <c r="L73" s="90">
        <v>10568187</v>
      </c>
      <c r="M73" s="4">
        <v>0</v>
      </c>
      <c r="N73" s="4">
        <v>0</v>
      </c>
      <c r="O73" s="4">
        <v>0</v>
      </c>
      <c r="P73" s="90">
        <v>10568187</v>
      </c>
      <c r="Q73" s="4">
        <v>0</v>
      </c>
      <c r="R73" s="4">
        <v>0</v>
      </c>
      <c r="S73" s="4">
        <v>0</v>
      </c>
      <c r="T73" s="90">
        <v>10568187</v>
      </c>
      <c r="U73" s="4">
        <v>0</v>
      </c>
      <c r="V73" s="4">
        <v>0</v>
      </c>
      <c r="W73" s="4">
        <v>0</v>
      </c>
      <c r="X73" s="90">
        <v>10568187</v>
      </c>
      <c r="Y73" s="4">
        <v>0</v>
      </c>
      <c r="Z73" s="4">
        <v>0</v>
      </c>
      <c r="AA73" s="4">
        <v>0</v>
      </c>
      <c r="AB73" s="90">
        <v>10568187</v>
      </c>
      <c r="AC73" s="4">
        <v>0</v>
      </c>
      <c r="AD73" s="4">
        <v>0</v>
      </c>
      <c r="AE73" s="4">
        <v>0</v>
      </c>
      <c r="AF73" s="90">
        <v>10568187</v>
      </c>
      <c r="AG73" s="4">
        <v>0</v>
      </c>
      <c r="AH73" s="4">
        <v>0</v>
      </c>
      <c r="AI73" s="4">
        <v>0</v>
      </c>
      <c r="AJ73" s="90">
        <v>10568187</v>
      </c>
      <c r="AK73" s="4">
        <v>0</v>
      </c>
      <c r="AL73" s="4">
        <v>0</v>
      </c>
      <c r="AM73" s="4">
        <v>0</v>
      </c>
      <c r="AN73" s="96">
        <v>10568187</v>
      </c>
      <c r="AO73" s="4">
        <v>0</v>
      </c>
      <c r="AP73" s="83">
        <v>0</v>
      </c>
      <c r="AQ73" s="4">
        <v>0</v>
      </c>
      <c r="AR73" s="90">
        <v>10568187</v>
      </c>
      <c r="AS73" s="4">
        <v>0</v>
      </c>
      <c r="AT73" s="4">
        <v>0</v>
      </c>
      <c r="AU73" s="4">
        <v>0</v>
      </c>
      <c r="AV73" s="90">
        <v>10568187</v>
      </c>
      <c r="AW73" s="4">
        <v>0</v>
      </c>
      <c r="AX73" s="4">
        <v>0</v>
      </c>
      <c r="AY73" s="4">
        <v>0</v>
      </c>
      <c r="AZ73" s="4"/>
    </row>
    <row r="75" spans="3:52" x14ac:dyDescent="0.3">
      <c r="C75" t="s">
        <v>54</v>
      </c>
      <c r="D75" t="s">
        <v>390</v>
      </c>
      <c r="E75" t="s">
        <v>367</v>
      </c>
      <c r="F75" t="s">
        <v>367</v>
      </c>
      <c r="G75" t="s">
        <v>133</v>
      </c>
      <c r="H75" t="s">
        <v>778</v>
      </c>
      <c r="I75" t="s">
        <v>779</v>
      </c>
      <c r="J75" t="s">
        <v>780</v>
      </c>
      <c r="K75" t="s">
        <v>781</v>
      </c>
      <c r="L75" t="s">
        <v>782</v>
      </c>
      <c r="M75" t="s">
        <v>783</v>
      </c>
      <c r="N75" t="s">
        <v>784</v>
      </c>
      <c r="O75" t="s">
        <v>785</v>
      </c>
      <c r="P75" t="s">
        <v>786</v>
      </c>
      <c r="Q75" t="s">
        <v>787</v>
      </c>
      <c r="R75" t="s">
        <v>788</v>
      </c>
      <c r="S75" t="s">
        <v>789</v>
      </c>
      <c r="T75" t="s">
        <v>790</v>
      </c>
      <c r="U75" t="s">
        <v>791</v>
      </c>
      <c r="V75" t="s">
        <v>792</v>
      </c>
      <c r="W75" t="s">
        <v>793</v>
      </c>
      <c r="X75" t="s">
        <v>794</v>
      </c>
      <c r="Y75" t="s">
        <v>795</v>
      </c>
      <c r="Z75" t="s">
        <v>796</v>
      </c>
      <c r="AA75" t="s">
        <v>797</v>
      </c>
      <c r="AB75" t="s">
        <v>798</v>
      </c>
      <c r="AC75" t="s">
        <v>799</v>
      </c>
      <c r="AD75" t="s">
        <v>800</v>
      </c>
      <c r="AE75" t="s">
        <v>801</v>
      </c>
      <c r="AF75" t="s">
        <v>802</v>
      </c>
      <c r="AG75" t="s">
        <v>803</v>
      </c>
      <c r="AH75" t="s">
        <v>804</v>
      </c>
      <c r="AI75" t="s">
        <v>805</v>
      </c>
      <c r="AJ75" t="s">
        <v>806</v>
      </c>
      <c r="AK75" t="s">
        <v>807</v>
      </c>
      <c r="AL75" t="s">
        <v>808</v>
      </c>
      <c r="AM75" t="s">
        <v>809</v>
      </c>
      <c r="AN75" t="s">
        <v>530</v>
      </c>
      <c r="AO75" t="s">
        <v>531</v>
      </c>
      <c r="AP75" t="s">
        <v>810</v>
      </c>
      <c r="AQ75" t="s">
        <v>811</v>
      </c>
      <c r="AR75" t="s">
        <v>812</v>
      </c>
      <c r="AS75" t="s">
        <v>813</v>
      </c>
      <c r="AT75" t="s">
        <v>814</v>
      </c>
      <c r="AU75" t="s">
        <v>815</v>
      </c>
      <c r="AV75" t="s">
        <v>816</v>
      </c>
      <c r="AW75" t="s">
        <v>817</v>
      </c>
      <c r="AX75" t="s">
        <v>818</v>
      </c>
      <c r="AY75" t="s">
        <v>819</v>
      </c>
    </row>
    <row r="76" spans="3:52" x14ac:dyDescent="0.3">
      <c r="C76" s="49">
        <v>45657</v>
      </c>
      <c r="D76" t="s">
        <v>403</v>
      </c>
      <c r="E76" s="106">
        <v>45867.460395150461</v>
      </c>
      <c r="F76" s="106">
        <v>45867.447250254627</v>
      </c>
      <c r="G76">
        <v>10568187</v>
      </c>
      <c r="H76">
        <v>10568187</v>
      </c>
      <c r="I76">
        <v>0</v>
      </c>
      <c r="J76">
        <v>0</v>
      </c>
      <c r="K76">
        <v>0</v>
      </c>
      <c r="L76">
        <v>10568187</v>
      </c>
      <c r="M76">
        <v>0</v>
      </c>
      <c r="N76">
        <v>0</v>
      </c>
      <c r="O76">
        <v>0</v>
      </c>
      <c r="P76">
        <v>10568187</v>
      </c>
      <c r="Q76">
        <v>0</v>
      </c>
      <c r="R76">
        <v>0</v>
      </c>
      <c r="S76">
        <v>0</v>
      </c>
      <c r="T76">
        <v>10568187</v>
      </c>
      <c r="U76">
        <v>0</v>
      </c>
      <c r="V76">
        <v>0</v>
      </c>
      <c r="W76">
        <v>0</v>
      </c>
      <c r="X76">
        <v>10568187</v>
      </c>
      <c r="Y76">
        <v>0</v>
      </c>
      <c r="Z76">
        <v>0</v>
      </c>
      <c r="AA76">
        <v>0</v>
      </c>
      <c r="AB76">
        <v>10568187</v>
      </c>
      <c r="AC76">
        <v>0</v>
      </c>
      <c r="AD76">
        <v>0</v>
      </c>
      <c r="AE76">
        <v>0</v>
      </c>
      <c r="AF76">
        <v>10568187</v>
      </c>
      <c r="AG76">
        <v>0</v>
      </c>
      <c r="AH76">
        <v>0</v>
      </c>
      <c r="AI76">
        <v>0</v>
      </c>
      <c r="AJ76">
        <v>10568187</v>
      </c>
      <c r="AK76">
        <v>0</v>
      </c>
      <c r="AL76">
        <v>0</v>
      </c>
      <c r="AM76">
        <v>0</v>
      </c>
      <c r="AN76">
        <v>10568187</v>
      </c>
      <c r="AO76">
        <v>0</v>
      </c>
      <c r="AP76">
        <v>0</v>
      </c>
      <c r="AQ76">
        <v>0</v>
      </c>
      <c r="AR76">
        <v>10568187</v>
      </c>
      <c r="AS76">
        <v>0</v>
      </c>
      <c r="AT76">
        <v>0</v>
      </c>
      <c r="AU76">
        <v>0</v>
      </c>
      <c r="AV76">
        <v>10568187</v>
      </c>
      <c r="AW76">
        <v>0</v>
      </c>
      <c r="AX76">
        <v>0</v>
      </c>
      <c r="AY76">
        <v>0</v>
      </c>
    </row>
  </sheetData>
  <mergeCells count="3">
    <mergeCell ref="D17:N17"/>
    <mergeCell ref="D19:P19"/>
    <mergeCell ref="D21:P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A9F58-0B86-405E-9F3C-ADDE7B2B126A}">
  <dimension ref="A2:Z201"/>
  <sheetViews>
    <sheetView topLeftCell="A3" zoomScaleNormal="100" workbookViewId="0">
      <selection activeCell="B3" sqref="B3"/>
    </sheetView>
  </sheetViews>
  <sheetFormatPr defaultRowHeight="14.4" x14ac:dyDescent="0.3"/>
  <cols>
    <col min="3" max="3" width="26.5546875" bestFit="1" customWidth="1"/>
    <col min="4" max="4" width="27.44140625" bestFit="1" customWidth="1"/>
    <col min="5" max="5" width="32.5546875" customWidth="1"/>
    <col min="6" max="6" width="15" bestFit="1" customWidth="1"/>
    <col min="7" max="7" width="18.44140625" bestFit="1" customWidth="1"/>
    <col min="8" max="8" width="19.88671875" bestFit="1" customWidth="1"/>
    <col min="9" max="9" width="9.88671875" bestFit="1" customWidth="1"/>
    <col min="10" max="10" width="22.88671875" customWidth="1"/>
    <col min="11" max="11" width="20.109375" bestFit="1" customWidth="1"/>
    <col min="12" max="12" width="28.44140625" bestFit="1" customWidth="1"/>
    <col min="13" max="13" width="15.109375" bestFit="1" customWidth="1"/>
    <col min="14" max="14" width="15.5546875" bestFit="1" customWidth="1"/>
    <col min="15" max="15" width="15.109375" bestFit="1" customWidth="1"/>
    <col min="16" max="16" width="11.109375" bestFit="1" customWidth="1"/>
    <col min="17" max="17" width="8.109375" customWidth="1"/>
    <col min="18" max="18" width="9.5546875" bestFit="1" customWidth="1"/>
  </cols>
  <sheetData>
    <row r="2" spans="1:26" x14ac:dyDescent="0.3">
      <c r="B2" s="1" t="s">
        <v>820</v>
      </c>
      <c r="C2" s="1"/>
      <c r="D2" s="1"/>
      <c r="E2" s="1"/>
      <c r="F2" s="1"/>
      <c r="G2" s="1"/>
      <c r="H2" s="1"/>
      <c r="I2" s="1"/>
      <c r="J2" s="1"/>
      <c r="K2" s="1"/>
      <c r="L2" s="1"/>
      <c r="M2" s="1"/>
      <c r="N2" s="1"/>
      <c r="O2" s="1"/>
      <c r="P2" s="1"/>
    </row>
    <row r="3" spans="1:26" x14ac:dyDescent="0.3">
      <c r="B3" s="2"/>
    </row>
    <row r="4" spans="1:26" x14ac:dyDescent="0.3">
      <c r="B4" s="2"/>
    </row>
    <row r="5" spans="1:26" x14ac:dyDescent="0.3">
      <c r="C5" s="3" t="s">
        <v>52</v>
      </c>
      <c r="D5" s="3"/>
      <c r="E5" s="3"/>
      <c r="F5" s="3"/>
      <c r="G5" s="3"/>
      <c r="H5" s="3"/>
      <c r="I5" s="3"/>
      <c r="J5" s="3"/>
      <c r="K5" s="3"/>
      <c r="L5" s="3"/>
      <c r="M5" s="3"/>
      <c r="N5" s="3"/>
      <c r="O5" s="3"/>
      <c r="P5" s="3"/>
    </row>
    <row r="6" spans="1:26" x14ac:dyDescent="0.3">
      <c r="C6" s="32" t="s">
        <v>54</v>
      </c>
      <c r="D6" s="32" t="s">
        <v>821</v>
      </c>
      <c r="E6" s="32" t="s">
        <v>822</v>
      </c>
      <c r="F6" s="4" t="s">
        <v>823</v>
      </c>
      <c r="G6" s="4" t="s">
        <v>824</v>
      </c>
      <c r="H6" s="4" t="s">
        <v>58</v>
      </c>
      <c r="I6" s="4" t="s">
        <v>57</v>
      </c>
      <c r="J6" s="4" t="s">
        <v>825</v>
      </c>
      <c r="K6" s="4" t="s">
        <v>826</v>
      </c>
      <c r="L6" s="4" t="s">
        <v>827</v>
      </c>
      <c r="M6" s="4" t="s">
        <v>828</v>
      </c>
      <c r="N6" s="4" t="s">
        <v>829</v>
      </c>
      <c r="O6" s="4" t="s">
        <v>830</v>
      </c>
      <c r="P6" s="4" t="s">
        <v>831</v>
      </c>
      <c r="Q6" s="4" t="s">
        <v>832</v>
      </c>
      <c r="R6" s="4" t="s">
        <v>833</v>
      </c>
      <c r="S6" t="s">
        <v>834</v>
      </c>
      <c r="T6" t="s">
        <v>835</v>
      </c>
      <c r="U6" t="s">
        <v>836</v>
      </c>
      <c r="V6" t="s">
        <v>837</v>
      </c>
      <c r="W6" t="s">
        <v>838</v>
      </c>
      <c r="X6" t="s">
        <v>839</v>
      </c>
      <c r="Y6" t="s">
        <v>110</v>
      </c>
      <c r="Z6" t="s">
        <v>840</v>
      </c>
    </row>
    <row r="7" spans="1:26" x14ac:dyDescent="0.3">
      <c r="C7" s="32" t="s">
        <v>183</v>
      </c>
      <c r="D7" s="32" t="s">
        <v>841</v>
      </c>
      <c r="E7" s="4">
        <v>3382534</v>
      </c>
      <c r="F7" s="4">
        <v>3382534</v>
      </c>
      <c r="G7" s="4">
        <v>0</v>
      </c>
      <c r="H7" s="4">
        <v>0</v>
      </c>
      <c r="I7" s="4">
        <v>0</v>
      </c>
      <c r="J7" s="4">
        <v>0</v>
      </c>
      <c r="K7" s="4">
        <v>0</v>
      </c>
      <c r="L7" s="4">
        <v>0</v>
      </c>
      <c r="M7" s="4">
        <v>0</v>
      </c>
      <c r="N7" s="4">
        <v>0</v>
      </c>
      <c r="O7" s="4">
        <v>0</v>
      </c>
      <c r="P7" s="4">
        <v>0</v>
      </c>
      <c r="Q7" s="4">
        <v>0</v>
      </c>
      <c r="R7" s="4">
        <v>0</v>
      </c>
      <c r="S7">
        <v>0</v>
      </c>
      <c r="T7">
        <v>0</v>
      </c>
      <c r="U7">
        <v>0</v>
      </c>
      <c r="V7" s="24">
        <v>16</v>
      </c>
      <c r="W7">
        <v>0</v>
      </c>
      <c r="X7">
        <v>0</v>
      </c>
      <c r="Y7">
        <v>0</v>
      </c>
      <c r="Z7">
        <v>0</v>
      </c>
    </row>
    <row r="8" spans="1:26" x14ac:dyDescent="0.3">
      <c r="B8" t="s">
        <v>111</v>
      </c>
      <c r="C8" s="4"/>
      <c r="D8" s="4"/>
      <c r="E8" s="4"/>
      <c r="F8" s="28"/>
      <c r="G8" s="28">
        <f t="shared" ref="G8:Z8" si="0">($E$7-G7)/$E$7</f>
        <v>1</v>
      </c>
      <c r="H8" s="28">
        <f t="shared" si="0"/>
        <v>1</v>
      </c>
      <c r="I8" s="28">
        <f t="shared" si="0"/>
        <v>1</v>
      </c>
      <c r="J8" s="28">
        <f t="shared" si="0"/>
        <v>1</v>
      </c>
      <c r="K8" s="28">
        <f t="shared" si="0"/>
        <v>1</v>
      </c>
      <c r="L8" s="28">
        <f t="shared" si="0"/>
        <v>1</v>
      </c>
      <c r="M8" s="28">
        <f t="shared" si="0"/>
        <v>1</v>
      </c>
      <c r="N8" s="28">
        <f t="shared" si="0"/>
        <v>1</v>
      </c>
      <c r="O8" s="28">
        <f t="shared" si="0"/>
        <v>1</v>
      </c>
      <c r="P8" s="28">
        <f t="shared" si="0"/>
        <v>1</v>
      </c>
      <c r="Q8" s="28">
        <f t="shared" si="0"/>
        <v>1</v>
      </c>
      <c r="R8" s="28">
        <f t="shared" si="0"/>
        <v>1</v>
      </c>
      <c r="S8" s="28">
        <f t="shared" si="0"/>
        <v>1</v>
      </c>
      <c r="T8" s="28">
        <f t="shared" si="0"/>
        <v>1</v>
      </c>
      <c r="U8" s="28">
        <f t="shared" si="0"/>
        <v>1</v>
      </c>
      <c r="V8" s="28">
        <f t="shared" si="0"/>
        <v>0.99999526981842601</v>
      </c>
      <c r="W8" s="28">
        <f t="shared" si="0"/>
        <v>1</v>
      </c>
      <c r="X8" s="28">
        <f t="shared" si="0"/>
        <v>1</v>
      </c>
      <c r="Y8" s="28">
        <f t="shared" si="0"/>
        <v>1</v>
      </c>
      <c r="Z8" s="28">
        <f t="shared" si="0"/>
        <v>1</v>
      </c>
    </row>
    <row r="9" spans="1:26" x14ac:dyDescent="0.3">
      <c r="C9" s="8"/>
      <c r="D9" s="8"/>
      <c r="E9" s="8"/>
      <c r="F9" s="8"/>
      <c r="G9" s="8"/>
      <c r="H9" s="8"/>
      <c r="I9" s="8"/>
      <c r="J9" s="8"/>
      <c r="K9" s="8"/>
      <c r="L9" s="8"/>
      <c r="M9" s="8"/>
      <c r="N9" s="9"/>
      <c r="O9" s="9"/>
      <c r="P9" s="10"/>
      <c r="Q9" s="8"/>
      <c r="R9" s="8"/>
    </row>
    <row r="10" spans="1:26" s="19" customFormat="1" x14ac:dyDescent="0.3">
      <c r="A10"/>
      <c r="B10"/>
      <c r="C10" s="14"/>
      <c r="D10" s="15"/>
      <c r="E10" s="16"/>
      <c r="F10" s="16"/>
      <c r="G10" s="16"/>
      <c r="H10" s="17"/>
      <c r="I10" s="17"/>
      <c r="J10" s="17"/>
      <c r="K10" s="17"/>
      <c r="L10" s="18"/>
      <c r="M10" s="18"/>
      <c r="N10" s="12"/>
      <c r="O10" s="12"/>
      <c r="P10" s="14"/>
      <c r="Q10" s="14"/>
      <c r="R10" s="14"/>
    </row>
    <row r="11" spans="1:26" s="19" customFormat="1" x14ac:dyDescent="0.3">
      <c r="C11" s="14"/>
      <c r="D11" s="15"/>
      <c r="E11" s="16"/>
      <c r="F11" s="16"/>
      <c r="G11" s="16"/>
      <c r="H11" s="17"/>
      <c r="I11" s="17"/>
      <c r="J11" s="17"/>
      <c r="K11" s="17"/>
      <c r="L11" s="17"/>
      <c r="M11" s="17"/>
      <c r="N11" s="12"/>
      <c r="O11" s="12"/>
      <c r="P11" s="14"/>
      <c r="Q11" s="14"/>
      <c r="R11" s="14"/>
    </row>
    <row r="12" spans="1:26" x14ac:dyDescent="0.3">
      <c r="C12" s="3" t="s">
        <v>113</v>
      </c>
      <c r="D12" s="3"/>
      <c r="E12" s="3"/>
      <c r="F12" s="3"/>
      <c r="G12" s="3"/>
      <c r="H12" s="3"/>
      <c r="I12" s="3"/>
      <c r="J12" s="3"/>
      <c r="K12" s="3"/>
      <c r="L12" s="3"/>
      <c r="M12" s="3"/>
      <c r="N12" s="3"/>
      <c r="O12" s="3"/>
      <c r="P12" s="3"/>
    </row>
    <row r="14" spans="1:26" x14ac:dyDescent="0.3">
      <c r="C14" s="21" t="s">
        <v>114</v>
      </c>
    </row>
    <row r="15" spans="1:26" ht="14.4" customHeight="1" x14ac:dyDescent="0.3">
      <c r="D15" s="114" t="s">
        <v>842</v>
      </c>
      <c r="E15" s="114"/>
      <c r="F15" s="114"/>
      <c r="G15" s="114"/>
      <c r="H15" s="114"/>
      <c r="I15" s="114"/>
      <c r="J15" s="114"/>
      <c r="K15" s="114"/>
      <c r="L15" s="114"/>
      <c r="M15" s="114"/>
      <c r="N15" s="114"/>
    </row>
    <row r="16" spans="1:26" x14ac:dyDescent="0.3">
      <c r="C16" s="21" t="s">
        <v>116</v>
      </c>
    </row>
    <row r="17" spans="3:16" ht="14.4" customHeight="1" x14ac:dyDescent="0.3">
      <c r="O17" s="22"/>
      <c r="P17" s="22"/>
    </row>
    <row r="18" spans="3:16" x14ac:dyDescent="0.3">
      <c r="C18" s="21" t="s">
        <v>118</v>
      </c>
    </row>
    <row r="19" spans="3:16" x14ac:dyDescent="0.3">
      <c r="D19" s="115"/>
      <c r="E19" s="115"/>
      <c r="F19" s="115"/>
      <c r="G19" s="115"/>
      <c r="H19" s="115"/>
      <c r="I19" s="115"/>
      <c r="J19" s="115"/>
      <c r="K19" s="115"/>
      <c r="L19" s="115"/>
      <c r="M19" s="115"/>
      <c r="N19" s="115"/>
      <c r="O19" s="115"/>
      <c r="P19" s="115"/>
    </row>
    <row r="20" spans="3:16" x14ac:dyDescent="0.3">
      <c r="C20" s="21" t="s">
        <v>119</v>
      </c>
    </row>
    <row r="21" spans="3:16" x14ac:dyDescent="0.3">
      <c r="D21" s="115"/>
      <c r="E21" s="115"/>
      <c r="F21" s="115"/>
      <c r="G21" s="115"/>
      <c r="H21" s="115"/>
      <c r="I21" s="115"/>
      <c r="J21" s="115"/>
      <c r="K21" s="115"/>
      <c r="L21" s="115"/>
      <c r="M21" s="115"/>
      <c r="N21" s="115"/>
      <c r="O21" s="115"/>
      <c r="P21" s="115"/>
    </row>
    <row r="22" spans="3:16" x14ac:dyDescent="0.3">
      <c r="D22" s="22"/>
      <c r="E22" s="22"/>
      <c r="F22" s="22"/>
      <c r="G22" s="22"/>
      <c r="H22" s="22"/>
      <c r="I22" s="22"/>
      <c r="J22" s="22"/>
      <c r="K22" s="22"/>
      <c r="L22" s="22"/>
      <c r="M22" s="22"/>
      <c r="N22" s="22"/>
      <c r="O22" s="22"/>
      <c r="P22" s="22"/>
    </row>
    <row r="23" spans="3:16" x14ac:dyDescent="0.3">
      <c r="C23" s="3" t="s">
        <v>120</v>
      </c>
      <c r="D23" s="23"/>
      <c r="E23" s="23"/>
      <c r="F23" s="3"/>
      <c r="G23" s="3"/>
      <c r="H23" s="3"/>
      <c r="I23" s="3"/>
      <c r="J23" s="3"/>
      <c r="K23" s="3"/>
      <c r="L23" s="3"/>
      <c r="M23" s="3"/>
      <c r="N23" s="3"/>
      <c r="O23" s="3"/>
      <c r="P23" s="3"/>
    </row>
    <row r="25" spans="3:16" x14ac:dyDescent="0.3">
      <c r="C25" s="4" t="s">
        <v>837</v>
      </c>
      <c r="D25" s="7">
        <v>16</v>
      </c>
      <c r="E25" s="6" t="s">
        <v>843</v>
      </c>
    </row>
    <row r="27" spans="3:16" x14ac:dyDescent="0.3">
      <c r="C27" s="3" t="s">
        <v>121</v>
      </c>
      <c r="D27" s="3"/>
      <c r="E27" s="3"/>
      <c r="F27" s="3"/>
      <c r="G27" s="3"/>
      <c r="H27" s="3"/>
      <c r="I27" s="3"/>
      <c r="J27" s="3"/>
      <c r="K27" s="3"/>
      <c r="L27" s="3"/>
      <c r="M27" s="3"/>
      <c r="N27" s="3"/>
      <c r="O27" s="3"/>
      <c r="P27" s="3"/>
    </row>
    <row r="29" spans="3:16" x14ac:dyDescent="0.3">
      <c r="C29" s="26" t="s">
        <v>844</v>
      </c>
    </row>
    <row r="30" spans="3:16" x14ac:dyDescent="0.3">
      <c r="D30" s="116" t="s">
        <v>845</v>
      </c>
      <c r="E30" s="116"/>
      <c r="F30" s="116"/>
      <c r="G30" s="116"/>
      <c r="H30" s="116"/>
      <c r="I30" s="116"/>
      <c r="J30" s="116"/>
      <c r="K30" s="116"/>
      <c r="L30" s="116"/>
      <c r="M30" s="116"/>
      <c r="N30" s="116"/>
    </row>
    <row r="32" spans="3:16" x14ac:dyDescent="0.3">
      <c r="C32" s="4" t="s">
        <v>54</v>
      </c>
      <c r="D32" s="4" t="s">
        <v>821</v>
      </c>
      <c r="E32" s="4" t="s">
        <v>133</v>
      </c>
      <c r="F32" s="4" t="s">
        <v>846</v>
      </c>
      <c r="G32" s="4" t="s">
        <v>847</v>
      </c>
      <c r="H32" s="4" t="s">
        <v>370</v>
      </c>
      <c r="I32" s="4" t="s">
        <v>848</v>
      </c>
      <c r="J32" s="4" t="s">
        <v>849</v>
      </c>
    </row>
    <row r="33" spans="3:16" x14ac:dyDescent="0.3">
      <c r="C33" s="5">
        <v>45657</v>
      </c>
      <c r="D33" s="4" t="s">
        <v>841</v>
      </c>
      <c r="E33" s="4">
        <v>3382534</v>
      </c>
      <c r="F33" s="6">
        <v>3381159</v>
      </c>
      <c r="G33" s="4">
        <v>0</v>
      </c>
      <c r="H33" s="6">
        <v>1359</v>
      </c>
      <c r="I33" s="7">
        <v>16</v>
      </c>
      <c r="J33" s="4">
        <v>0</v>
      </c>
    </row>
    <row r="35" spans="3:16" x14ac:dyDescent="0.3">
      <c r="D35" s="3" t="s">
        <v>850</v>
      </c>
      <c r="E35" s="36"/>
      <c r="F35" s="36"/>
      <c r="G35" s="36"/>
      <c r="H35" s="36"/>
      <c r="I35" s="36"/>
      <c r="J35" s="36"/>
      <c r="K35" s="36"/>
      <c r="L35" s="36"/>
      <c r="M35" s="36"/>
      <c r="N35" s="36"/>
      <c r="O35" s="36"/>
      <c r="P35" s="36"/>
    </row>
    <row r="37" spans="3:16" x14ac:dyDescent="0.3">
      <c r="D37" s="26" t="s">
        <v>844</v>
      </c>
    </row>
    <row r="38" spans="3:16" x14ac:dyDescent="0.3">
      <c r="E38" s="118" t="s">
        <v>851</v>
      </c>
      <c r="F38" s="119"/>
    </row>
    <row r="40" spans="3:16" x14ac:dyDescent="0.3">
      <c r="D40" s="32" t="s">
        <v>852</v>
      </c>
      <c r="E40" s="32" t="s">
        <v>844</v>
      </c>
      <c r="F40" s="32" t="s">
        <v>844</v>
      </c>
      <c r="G40" s="19"/>
    </row>
    <row r="41" spans="3:16" x14ac:dyDescent="0.3">
      <c r="D41" s="32" t="s">
        <v>853</v>
      </c>
      <c r="E41" s="32" t="s">
        <v>854</v>
      </c>
      <c r="F41" s="32" t="s">
        <v>404</v>
      </c>
      <c r="G41" s="19"/>
    </row>
    <row r="42" spans="3:16" x14ac:dyDescent="0.3">
      <c r="D42" s="32" t="s">
        <v>855</v>
      </c>
      <c r="E42" s="32" t="s">
        <v>854</v>
      </c>
      <c r="F42" s="32" t="s">
        <v>856</v>
      </c>
      <c r="G42" s="19"/>
    </row>
    <row r="43" spans="3:16" x14ac:dyDescent="0.3">
      <c r="D43" s="32" t="s">
        <v>857</v>
      </c>
      <c r="E43" s="32" t="s">
        <v>854</v>
      </c>
      <c r="F43" s="32" t="s">
        <v>856</v>
      </c>
      <c r="G43" s="19"/>
    </row>
    <row r="44" spans="3:16" x14ac:dyDescent="0.3">
      <c r="D44" s="32" t="s">
        <v>858</v>
      </c>
      <c r="E44" s="32" t="s">
        <v>854</v>
      </c>
      <c r="F44" s="32" t="s">
        <v>404</v>
      </c>
      <c r="G44" s="19"/>
    </row>
    <row r="45" spans="3:16" x14ac:dyDescent="0.3">
      <c r="D45" s="32" t="s">
        <v>859</v>
      </c>
      <c r="E45" s="32" t="s">
        <v>854</v>
      </c>
      <c r="F45" s="32" t="s">
        <v>856</v>
      </c>
      <c r="G45" s="19"/>
    </row>
    <row r="46" spans="3:16" x14ac:dyDescent="0.3">
      <c r="D46" s="32" t="s">
        <v>860</v>
      </c>
      <c r="E46" s="32" t="s">
        <v>854</v>
      </c>
      <c r="F46" s="32" t="s">
        <v>856</v>
      </c>
      <c r="G46" s="19"/>
    </row>
    <row r="47" spans="3:16" x14ac:dyDescent="0.3">
      <c r="D47" s="32" t="s">
        <v>861</v>
      </c>
      <c r="E47" s="32" t="s">
        <v>854</v>
      </c>
      <c r="F47" s="32" t="s">
        <v>856</v>
      </c>
      <c r="G47" s="19"/>
    </row>
    <row r="48" spans="3:16" x14ac:dyDescent="0.3">
      <c r="D48" s="32" t="s">
        <v>862</v>
      </c>
      <c r="E48" s="32" t="s">
        <v>854</v>
      </c>
      <c r="F48" s="32" t="s">
        <v>404</v>
      </c>
      <c r="G48" s="19"/>
    </row>
    <row r="49" spans="2:16" x14ac:dyDescent="0.3">
      <c r="D49" s="32" t="s">
        <v>863</v>
      </c>
      <c r="E49" s="32" t="s">
        <v>854</v>
      </c>
      <c r="F49" s="32" t="s">
        <v>856</v>
      </c>
      <c r="G49" s="19"/>
    </row>
    <row r="50" spans="2:16" x14ac:dyDescent="0.3">
      <c r="D50" s="32" t="s">
        <v>864</v>
      </c>
      <c r="E50" s="32" t="s">
        <v>854</v>
      </c>
      <c r="F50" s="32" t="s">
        <v>404</v>
      </c>
      <c r="G50" s="19"/>
    </row>
    <row r="51" spans="2:16" x14ac:dyDescent="0.3">
      <c r="D51" s="32" t="s">
        <v>865</v>
      </c>
      <c r="E51" s="32" t="s">
        <v>854</v>
      </c>
      <c r="F51" s="32" t="s">
        <v>404</v>
      </c>
      <c r="G51" s="19"/>
    </row>
    <row r="52" spans="2:16" x14ac:dyDescent="0.3">
      <c r="D52" s="32" t="s">
        <v>866</v>
      </c>
      <c r="E52" s="32" t="s">
        <v>854</v>
      </c>
      <c r="F52" s="32" t="s">
        <v>856</v>
      </c>
      <c r="G52" s="19"/>
    </row>
    <row r="53" spans="2:16" x14ac:dyDescent="0.3">
      <c r="D53" s="32" t="s">
        <v>867</v>
      </c>
      <c r="E53" s="32" t="s">
        <v>854</v>
      </c>
      <c r="F53" s="32" t="s">
        <v>856</v>
      </c>
      <c r="G53" s="19"/>
    </row>
    <row r="54" spans="2:16" x14ac:dyDescent="0.3">
      <c r="D54" s="32" t="s">
        <v>868</v>
      </c>
      <c r="E54" s="32" t="s">
        <v>854</v>
      </c>
      <c r="F54" s="32" t="s">
        <v>856</v>
      </c>
      <c r="G54" s="19"/>
    </row>
    <row r="55" spans="2:16" x14ac:dyDescent="0.3">
      <c r="D55" s="32" t="s">
        <v>869</v>
      </c>
      <c r="E55" s="32" t="s">
        <v>854</v>
      </c>
      <c r="F55" s="32" t="s">
        <v>856</v>
      </c>
      <c r="G55" s="19"/>
    </row>
    <row r="56" spans="2:16" x14ac:dyDescent="0.3">
      <c r="D56" s="32" t="s">
        <v>870</v>
      </c>
      <c r="E56" s="32" t="s">
        <v>854</v>
      </c>
      <c r="F56" s="32" t="s">
        <v>856</v>
      </c>
      <c r="G56" s="19"/>
    </row>
    <row r="58" spans="2:16" x14ac:dyDescent="0.3">
      <c r="B58" s="1" t="s">
        <v>871</v>
      </c>
      <c r="C58" s="1"/>
      <c r="D58" s="1"/>
      <c r="E58" s="1"/>
      <c r="F58" s="1"/>
      <c r="G58" s="1"/>
      <c r="H58" s="1"/>
      <c r="I58" s="1"/>
      <c r="J58" s="1"/>
      <c r="K58" s="1"/>
      <c r="L58" s="1"/>
      <c r="M58" s="1"/>
      <c r="N58" s="1"/>
      <c r="O58" s="1"/>
      <c r="P58" s="1"/>
    </row>
    <row r="60" spans="2:16" x14ac:dyDescent="0.3">
      <c r="C60" s="3" t="s">
        <v>872</v>
      </c>
      <c r="D60" s="3"/>
      <c r="E60" s="3"/>
      <c r="F60" s="3"/>
      <c r="G60" s="3"/>
      <c r="H60" s="3"/>
      <c r="I60" s="3"/>
      <c r="J60" s="3"/>
      <c r="K60" s="3"/>
      <c r="L60" s="3"/>
      <c r="M60" s="3"/>
      <c r="N60" s="3"/>
      <c r="O60" s="3"/>
      <c r="P60" s="3"/>
    </row>
    <row r="62" spans="2:16" x14ac:dyDescent="0.3">
      <c r="C62" s="26" t="s">
        <v>21</v>
      </c>
    </row>
    <row r="63" spans="2:16" x14ac:dyDescent="0.3">
      <c r="D63" s="116" t="s">
        <v>873</v>
      </c>
      <c r="E63" s="116"/>
      <c r="F63" s="116"/>
      <c r="G63" s="116"/>
      <c r="H63" s="116"/>
      <c r="I63" s="116"/>
      <c r="J63" s="116"/>
      <c r="K63" s="116"/>
      <c r="L63" s="116"/>
      <c r="M63" s="116"/>
      <c r="N63" s="116"/>
    </row>
    <row r="65" spans="3:14" x14ac:dyDescent="0.3">
      <c r="C65" s="4" t="s">
        <v>54</v>
      </c>
      <c r="D65" s="4" t="s">
        <v>821</v>
      </c>
      <c r="E65" s="4" t="s">
        <v>133</v>
      </c>
      <c r="F65" s="4" t="s">
        <v>846</v>
      </c>
      <c r="G65" s="4" t="s">
        <v>847</v>
      </c>
      <c r="H65" s="4" t="s">
        <v>370</v>
      </c>
      <c r="I65" s="4" t="s">
        <v>848</v>
      </c>
      <c r="J65" s="4" t="s">
        <v>849</v>
      </c>
    </row>
    <row r="66" spans="3:14" x14ac:dyDescent="0.3">
      <c r="C66" s="5">
        <v>45657</v>
      </c>
      <c r="D66" s="4" t="s">
        <v>841</v>
      </c>
      <c r="E66" s="4">
        <v>3382534</v>
      </c>
      <c r="F66" s="6">
        <v>2141557</v>
      </c>
      <c r="G66" s="4">
        <v>0</v>
      </c>
      <c r="H66" s="6">
        <v>1240977</v>
      </c>
      <c r="I66" s="4">
        <v>0</v>
      </c>
      <c r="J66" s="4">
        <v>0</v>
      </c>
    </row>
    <row r="68" spans="3:14" x14ac:dyDescent="0.3">
      <c r="C68" s="26" t="s">
        <v>22</v>
      </c>
    </row>
    <row r="69" spans="3:14" x14ac:dyDescent="0.3">
      <c r="D69" s="116" t="s">
        <v>874</v>
      </c>
      <c r="E69" s="116"/>
      <c r="F69" s="116"/>
      <c r="G69" s="116"/>
      <c r="H69" s="116"/>
      <c r="I69" s="116"/>
      <c r="J69" s="116"/>
      <c r="K69" s="116"/>
      <c r="L69" s="116"/>
      <c r="M69" s="116"/>
      <c r="N69" s="116"/>
    </row>
    <row r="71" spans="3:14" x14ac:dyDescent="0.3">
      <c r="C71" s="4" t="s">
        <v>54</v>
      </c>
      <c r="D71" s="4" t="s">
        <v>821</v>
      </c>
      <c r="E71" s="4" t="s">
        <v>133</v>
      </c>
      <c r="F71" s="4" t="s">
        <v>846</v>
      </c>
      <c r="G71" s="4" t="s">
        <v>847</v>
      </c>
      <c r="H71" s="4" t="s">
        <v>370</v>
      </c>
      <c r="I71" s="4" t="s">
        <v>848</v>
      </c>
      <c r="J71" s="4" t="s">
        <v>849</v>
      </c>
    </row>
    <row r="72" spans="3:14" x14ac:dyDescent="0.3">
      <c r="C72" s="5">
        <v>45657</v>
      </c>
      <c r="D72" s="4" t="s">
        <v>841</v>
      </c>
      <c r="E72" s="4">
        <v>3382534</v>
      </c>
      <c r="F72" s="6">
        <v>2082414</v>
      </c>
      <c r="G72" s="4">
        <v>0</v>
      </c>
      <c r="H72" s="6">
        <v>1300120</v>
      </c>
      <c r="I72" s="4">
        <v>0</v>
      </c>
      <c r="J72" s="4">
        <v>0</v>
      </c>
    </row>
    <row r="187" ht="44.4" customHeight="1" x14ac:dyDescent="0.3"/>
    <row r="189" ht="14.4" customHeight="1" x14ac:dyDescent="0.3"/>
    <row r="201" ht="14.4" customHeight="1" x14ac:dyDescent="0.3"/>
  </sheetData>
  <mergeCells count="7">
    <mergeCell ref="D15:N15"/>
    <mergeCell ref="D19:P19"/>
    <mergeCell ref="D21:P21"/>
    <mergeCell ref="D63:N63"/>
    <mergeCell ref="D69:N69"/>
    <mergeCell ref="D30:N30"/>
    <mergeCell ref="E38:F3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6615-F152-4DA8-88CC-9BE2D65A051E}">
  <dimension ref="A2:FC168"/>
  <sheetViews>
    <sheetView topLeftCell="B3" zoomScaleNormal="100" workbookViewId="0">
      <selection activeCell="B3" sqref="B3"/>
    </sheetView>
  </sheetViews>
  <sheetFormatPr defaultRowHeight="14.4" x14ac:dyDescent="0.3"/>
  <cols>
    <col min="3" max="3" width="26.5546875" bestFit="1" customWidth="1"/>
    <col min="4" max="4" width="27.44140625" bestFit="1" customWidth="1"/>
    <col min="5" max="5" width="32.5546875" customWidth="1"/>
    <col min="6" max="6" width="15" bestFit="1" customWidth="1"/>
    <col min="7" max="7" width="18.44140625" bestFit="1" customWidth="1"/>
    <col min="8" max="8" width="19.88671875" bestFit="1" customWidth="1"/>
    <col min="9" max="9" width="9.88671875" bestFit="1" customWidth="1"/>
    <col min="10" max="10" width="22.88671875" customWidth="1"/>
    <col min="11" max="11" width="20.109375" bestFit="1" customWidth="1"/>
    <col min="12" max="12" width="28.44140625" bestFit="1" customWidth="1"/>
    <col min="13" max="13" width="15.109375" bestFit="1" customWidth="1"/>
    <col min="14" max="14" width="15.5546875" bestFit="1" customWidth="1"/>
    <col min="15" max="15" width="15.109375" bestFit="1" customWidth="1"/>
    <col min="16" max="16" width="11.109375" bestFit="1" customWidth="1"/>
    <col min="17" max="17" width="7.44140625" bestFit="1" customWidth="1"/>
    <col min="18" max="18" width="9.5546875" bestFit="1" customWidth="1"/>
  </cols>
  <sheetData>
    <row r="2" spans="1:159" x14ac:dyDescent="0.3">
      <c r="B2" s="1" t="s">
        <v>875</v>
      </c>
      <c r="C2" s="1"/>
      <c r="D2" s="1"/>
      <c r="E2" s="1"/>
      <c r="F2" s="1"/>
      <c r="G2" s="1"/>
      <c r="H2" s="1"/>
      <c r="I2" s="1"/>
      <c r="J2" s="1"/>
      <c r="K2" s="1"/>
      <c r="L2" s="1"/>
      <c r="M2" s="1"/>
      <c r="N2" s="1"/>
      <c r="O2" s="1"/>
      <c r="P2" s="1"/>
    </row>
    <row r="3" spans="1:159" x14ac:dyDescent="0.3">
      <c r="B3" s="2"/>
    </row>
    <row r="4" spans="1:159" x14ac:dyDescent="0.3">
      <c r="B4" s="2"/>
    </row>
    <row r="5" spans="1:159" x14ac:dyDescent="0.3">
      <c r="C5" s="3" t="s">
        <v>52</v>
      </c>
      <c r="D5" s="3"/>
      <c r="E5" s="3"/>
      <c r="F5" s="3"/>
      <c r="G5" s="3"/>
      <c r="H5" s="3"/>
      <c r="I5" s="3"/>
      <c r="J5" s="3"/>
      <c r="K5" s="3"/>
      <c r="L5" s="3"/>
      <c r="M5" s="3"/>
      <c r="N5" s="3"/>
      <c r="O5" s="3"/>
      <c r="P5" s="3"/>
    </row>
    <row r="6" spans="1:159" x14ac:dyDescent="0.3">
      <c r="C6" s="32" t="s">
        <v>54</v>
      </c>
      <c r="D6" s="32" t="s">
        <v>390</v>
      </c>
      <c r="E6" s="32" t="s">
        <v>391</v>
      </c>
      <c r="F6" s="32" t="s">
        <v>392</v>
      </c>
      <c r="G6" s="32" t="s">
        <v>876</v>
      </c>
      <c r="H6" s="32" t="s">
        <v>393</v>
      </c>
      <c r="I6" s="32" t="s">
        <v>394</v>
      </c>
      <c r="J6" s="32" t="s">
        <v>877</v>
      </c>
      <c r="K6" s="32" t="s">
        <v>399</v>
      </c>
      <c r="L6" s="32" t="s">
        <v>400</v>
      </c>
      <c r="M6" s="32" t="s">
        <v>106</v>
      </c>
      <c r="N6" s="32" t="s">
        <v>878</v>
      </c>
      <c r="O6" s="32" t="s">
        <v>879</v>
      </c>
      <c r="P6" s="32" t="s">
        <v>880</v>
      </c>
      <c r="Q6" s="32" t="s">
        <v>881</v>
      </c>
      <c r="R6" s="32" t="s">
        <v>882</v>
      </c>
      <c r="S6" s="32" t="s">
        <v>883</v>
      </c>
      <c r="T6" s="32" t="s">
        <v>884</v>
      </c>
      <c r="U6" s="32" t="s">
        <v>885</v>
      </c>
      <c r="V6" s="32" t="s">
        <v>886</v>
      </c>
      <c r="W6" s="32" t="s">
        <v>887</v>
      </c>
      <c r="X6" s="32" t="s">
        <v>888</v>
      </c>
      <c r="Y6" s="32" t="s">
        <v>889</v>
      </c>
      <c r="Z6" s="32" t="s">
        <v>890</v>
      </c>
      <c r="AA6" s="32" t="s">
        <v>891</v>
      </c>
      <c r="AB6" s="32" t="s">
        <v>892</v>
      </c>
      <c r="AC6" s="32" t="s">
        <v>893</v>
      </c>
      <c r="AD6" s="32" t="s">
        <v>894</v>
      </c>
      <c r="AE6" s="32" t="s">
        <v>895</v>
      </c>
      <c r="AF6" s="32" t="s">
        <v>896</v>
      </c>
      <c r="AG6" s="32" t="s">
        <v>897</v>
      </c>
      <c r="AH6" s="32" t="s">
        <v>898</v>
      </c>
      <c r="AI6" s="32" t="s">
        <v>899</v>
      </c>
      <c r="AJ6" s="32" t="s">
        <v>900</v>
      </c>
      <c r="AK6" s="32" t="s">
        <v>828</v>
      </c>
      <c r="AL6" s="32" t="s">
        <v>901</v>
      </c>
      <c r="AM6" s="32" t="s">
        <v>830</v>
      </c>
      <c r="AN6" s="32" t="s">
        <v>832</v>
      </c>
      <c r="AO6" s="32" t="s">
        <v>902</v>
      </c>
      <c r="AP6" s="32" t="s">
        <v>903</v>
      </c>
      <c r="AQ6" s="32" t="s">
        <v>904</v>
      </c>
      <c r="AR6" s="32" t="s">
        <v>905</v>
      </c>
      <c r="AS6" s="32" t="s">
        <v>906</v>
      </c>
      <c r="AT6" s="32" t="s">
        <v>907</v>
      </c>
      <c r="AU6" s="32" t="s">
        <v>826</v>
      </c>
      <c r="AV6" s="32" t="s">
        <v>825</v>
      </c>
      <c r="AW6" s="32" t="s">
        <v>908</v>
      </c>
      <c r="AX6" s="32" t="s">
        <v>909</v>
      </c>
      <c r="AY6" s="32" t="s">
        <v>910</v>
      </c>
      <c r="AZ6" s="32" t="s">
        <v>835</v>
      </c>
      <c r="BA6" s="32" t="s">
        <v>836</v>
      </c>
      <c r="BB6" s="32" t="s">
        <v>911</v>
      </c>
      <c r="BC6" s="32" t="s">
        <v>912</v>
      </c>
      <c r="BD6" s="32" t="s">
        <v>913</v>
      </c>
      <c r="BE6" s="32" t="s">
        <v>914</v>
      </c>
      <c r="BF6" s="32" t="s">
        <v>915</v>
      </c>
      <c r="BG6" s="32" t="s">
        <v>916</v>
      </c>
      <c r="BH6" s="32" t="s">
        <v>917</v>
      </c>
      <c r="BI6" s="32" t="s">
        <v>918</v>
      </c>
      <c r="BJ6" s="32" t="s">
        <v>919</v>
      </c>
      <c r="BK6" s="32" t="s">
        <v>920</v>
      </c>
      <c r="BL6" s="32" t="s">
        <v>110</v>
      </c>
      <c r="BM6" s="32" t="s">
        <v>402</v>
      </c>
      <c r="FC6" s="19"/>
    </row>
    <row r="7" spans="1:159" x14ac:dyDescent="0.3">
      <c r="C7" s="4" t="s">
        <v>183</v>
      </c>
      <c r="D7" s="4" t="s">
        <v>403</v>
      </c>
      <c r="E7" s="4">
        <v>342613</v>
      </c>
      <c r="F7" s="4">
        <v>342613</v>
      </c>
      <c r="G7" s="4">
        <v>0</v>
      </c>
      <c r="H7" s="4">
        <v>0</v>
      </c>
      <c r="I7" s="4">
        <v>0</v>
      </c>
      <c r="J7" s="4">
        <v>0</v>
      </c>
      <c r="K7" s="6">
        <v>342613</v>
      </c>
      <c r="L7" s="6">
        <v>342613</v>
      </c>
      <c r="M7" s="4">
        <v>0</v>
      </c>
      <c r="N7" s="4">
        <v>0</v>
      </c>
      <c r="O7" s="4">
        <v>0</v>
      </c>
      <c r="P7" s="4">
        <v>0</v>
      </c>
      <c r="Q7" s="4">
        <v>0</v>
      </c>
      <c r="R7" s="4">
        <v>0</v>
      </c>
      <c r="S7" s="4">
        <v>0</v>
      </c>
      <c r="T7" s="4">
        <v>0</v>
      </c>
      <c r="U7" s="4">
        <v>0</v>
      </c>
      <c r="V7" s="4">
        <v>0</v>
      </c>
      <c r="W7" s="4">
        <v>0</v>
      </c>
      <c r="X7" s="4">
        <v>0</v>
      </c>
      <c r="Y7" s="4">
        <v>0</v>
      </c>
      <c r="Z7" s="4">
        <v>0</v>
      </c>
      <c r="AA7" s="4">
        <v>0</v>
      </c>
      <c r="AB7" s="4">
        <v>0</v>
      </c>
      <c r="AC7" s="4">
        <v>0</v>
      </c>
      <c r="AD7" s="4">
        <v>0</v>
      </c>
      <c r="AE7" s="4">
        <v>0</v>
      </c>
      <c r="AF7" s="4">
        <v>0</v>
      </c>
      <c r="AG7" s="4">
        <v>0</v>
      </c>
      <c r="AH7" s="4">
        <v>0</v>
      </c>
      <c r="AI7" s="4">
        <v>0</v>
      </c>
      <c r="AJ7" s="4">
        <v>0</v>
      </c>
      <c r="AK7" s="4">
        <v>0</v>
      </c>
      <c r="AL7" s="4">
        <v>0</v>
      </c>
      <c r="AM7" s="4">
        <v>0</v>
      </c>
      <c r="AN7" s="4">
        <v>0</v>
      </c>
      <c r="AO7" s="4">
        <v>0</v>
      </c>
      <c r="AP7" s="4">
        <v>0</v>
      </c>
      <c r="AQ7" s="4">
        <v>0</v>
      </c>
      <c r="AR7" s="4">
        <v>0</v>
      </c>
      <c r="AS7" s="4">
        <v>0</v>
      </c>
      <c r="AT7" s="4">
        <v>0</v>
      </c>
      <c r="AU7" s="4">
        <v>0</v>
      </c>
      <c r="AV7" s="4">
        <v>0</v>
      </c>
      <c r="AW7" s="4">
        <v>0</v>
      </c>
      <c r="AX7" s="4">
        <v>0</v>
      </c>
      <c r="AY7" s="4">
        <v>0</v>
      </c>
      <c r="AZ7" s="4">
        <v>0</v>
      </c>
      <c r="BA7" s="4">
        <v>0</v>
      </c>
      <c r="BB7" s="4">
        <v>0</v>
      </c>
      <c r="BC7" s="4">
        <v>0</v>
      </c>
      <c r="BD7" s="4">
        <v>0</v>
      </c>
      <c r="BE7" s="4">
        <v>0</v>
      </c>
      <c r="BF7" s="4">
        <v>0</v>
      </c>
      <c r="BG7" s="4">
        <v>0</v>
      </c>
      <c r="BH7" s="4">
        <v>0</v>
      </c>
      <c r="BI7" s="7">
        <v>1</v>
      </c>
      <c r="BJ7" s="4">
        <v>0</v>
      </c>
      <c r="BK7" s="4">
        <v>0</v>
      </c>
      <c r="BL7" s="4">
        <v>0</v>
      </c>
      <c r="BM7" s="6">
        <v>342613</v>
      </c>
      <c r="FC7" s="19"/>
    </row>
    <row r="8" spans="1:159" x14ac:dyDescent="0.3">
      <c r="B8" t="s">
        <v>111</v>
      </c>
      <c r="C8" s="8"/>
      <c r="D8" s="8"/>
      <c r="E8" s="8"/>
      <c r="F8" s="8"/>
      <c r="G8" s="27">
        <f>($E$7-G7)/$E$7</f>
        <v>1</v>
      </c>
      <c r="H8" s="27">
        <f t="shared" ref="H8:BM8" si="0">($E$7-H7)/$E$7</f>
        <v>1</v>
      </c>
      <c r="I8" s="27">
        <f t="shared" si="0"/>
        <v>1</v>
      </c>
      <c r="J8" s="27">
        <f t="shared" si="0"/>
        <v>1</v>
      </c>
      <c r="K8" s="27">
        <f t="shared" si="0"/>
        <v>0</v>
      </c>
      <c r="L8" s="27">
        <f t="shared" si="0"/>
        <v>0</v>
      </c>
      <c r="M8" s="27">
        <f t="shared" si="0"/>
        <v>1</v>
      </c>
      <c r="N8" s="27">
        <f t="shared" si="0"/>
        <v>1</v>
      </c>
      <c r="O8" s="27">
        <f t="shared" si="0"/>
        <v>1</v>
      </c>
      <c r="P8" s="27">
        <f t="shared" si="0"/>
        <v>1</v>
      </c>
      <c r="Q8" s="27">
        <f t="shared" si="0"/>
        <v>1</v>
      </c>
      <c r="R8" s="27">
        <f t="shared" si="0"/>
        <v>1</v>
      </c>
      <c r="S8" s="27">
        <f t="shared" si="0"/>
        <v>1</v>
      </c>
      <c r="T8" s="27">
        <f t="shared" si="0"/>
        <v>1</v>
      </c>
      <c r="U8" s="27">
        <f t="shared" si="0"/>
        <v>1</v>
      </c>
      <c r="V8" s="27">
        <f t="shared" si="0"/>
        <v>1</v>
      </c>
      <c r="W8" s="27">
        <f t="shared" si="0"/>
        <v>1</v>
      </c>
      <c r="X8" s="27">
        <f t="shared" si="0"/>
        <v>1</v>
      </c>
      <c r="Y8" s="27">
        <f t="shared" si="0"/>
        <v>1</v>
      </c>
      <c r="Z8" s="27">
        <f t="shared" si="0"/>
        <v>1</v>
      </c>
      <c r="AA8" s="27">
        <f t="shared" si="0"/>
        <v>1</v>
      </c>
      <c r="AB8" s="27">
        <f t="shared" si="0"/>
        <v>1</v>
      </c>
      <c r="AC8" s="27">
        <f t="shared" si="0"/>
        <v>1</v>
      </c>
      <c r="AD8" s="27">
        <f t="shared" si="0"/>
        <v>1</v>
      </c>
      <c r="AE8" s="27">
        <f t="shared" si="0"/>
        <v>1</v>
      </c>
      <c r="AF8" s="27">
        <f t="shared" si="0"/>
        <v>1</v>
      </c>
      <c r="AG8" s="27">
        <f t="shared" si="0"/>
        <v>1</v>
      </c>
      <c r="AH8" s="27">
        <f t="shared" si="0"/>
        <v>1</v>
      </c>
      <c r="AI8" s="27">
        <f t="shared" si="0"/>
        <v>1</v>
      </c>
      <c r="AJ8" s="27">
        <f t="shared" si="0"/>
        <v>1</v>
      </c>
      <c r="AK8" s="27">
        <f t="shared" si="0"/>
        <v>1</v>
      </c>
      <c r="AL8" s="27">
        <f t="shared" si="0"/>
        <v>1</v>
      </c>
      <c r="AM8" s="27">
        <f t="shared" si="0"/>
        <v>1</v>
      </c>
      <c r="AN8" s="27">
        <f t="shared" si="0"/>
        <v>1</v>
      </c>
      <c r="AO8" s="27">
        <f t="shared" si="0"/>
        <v>1</v>
      </c>
      <c r="AP8" s="27">
        <f t="shared" si="0"/>
        <v>1</v>
      </c>
      <c r="AQ8" s="27">
        <f t="shared" si="0"/>
        <v>1</v>
      </c>
      <c r="AR8" s="27">
        <f t="shared" si="0"/>
        <v>1</v>
      </c>
      <c r="AS8" s="27">
        <f t="shared" si="0"/>
        <v>1</v>
      </c>
      <c r="AT8" s="27">
        <f t="shared" si="0"/>
        <v>1</v>
      </c>
      <c r="AU8" s="27">
        <f t="shared" si="0"/>
        <v>1</v>
      </c>
      <c r="AV8" s="27">
        <f t="shared" si="0"/>
        <v>1</v>
      </c>
      <c r="AW8" s="27">
        <f t="shared" si="0"/>
        <v>1</v>
      </c>
      <c r="AX8" s="27">
        <f t="shared" si="0"/>
        <v>1</v>
      </c>
      <c r="AY8" s="27">
        <f t="shared" si="0"/>
        <v>1</v>
      </c>
      <c r="AZ8" s="27">
        <f t="shared" si="0"/>
        <v>1</v>
      </c>
      <c r="BA8" s="27">
        <f t="shared" si="0"/>
        <v>1</v>
      </c>
      <c r="BB8" s="27">
        <f t="shared" si="0"/>
        <v>1</v>
      </c>
      <c r="BC8" s="27">
        <f t="shared" si="0"/>
        <v>1</v>
      </c>
      <c r="BD8" s="27">
        <f t="shared" si="0"/>
        <v>1</v>
      </c>
      <c r="BE8" s="27">
        <f t="shared" si="0"/>
        <v>1</v>
      </c>
      <c r="BF8" s="27">
        <f t="shared" si="0"/>
        <v>1</v>
      </c>
      <c r="BG8" s="27">
        <f t="shared" si="0"/>
        <v>1</v>
      </c>
      <c r="BH8" s="27">
        <f t="shared" si="0"/>
        <v>1</v>
      </c>
      <c r="BI8" s="27">
        <f t="shared" si="0"/>
        <v>0.99999708125494358</v>
      </c>
      <c r="BJ8" s="27">
        <f t="shared" si="0"/>
        <v>1</v>
      </c>
      <c r="BK8" s="27">
        <f t="shared" si="0"/>
        <v>1</v>
      </c>
      <c r="BL8" s="27">
        <f t="shared" si="0"/>
        <v>1</v>
      </c>
      <c r="BM8" s="27">
        <f t="shared" si="0"/>
        <v>0</v>
      </c>
    </row>
    <row r="9" spans="1:159" x14ac:dyDescent="0.3">
      <c r="C9" s="11"/>
      <c r="D9" s="11"/>
      <c r="E9" s="11"/>
      <c r="F9" s="11"/>
      <c r="G9" s="11"/>
      <c r="H9" s="11"/>
      <c r="I9" s="11"/>
      <c r="J9" s="11"/>
      <c r="K9" s="11"/>
      <c r="L9" s="11"/>
      <c r="M9" s="11"/>
      <c r="N9" s="12"/>
      <c r="O9" s="12"/>
      <c r="P9" s="13"/>
      <c r="Q9" s="11"/>
      <c r="R9" s="11"/>
    </row>
    <row r="10" spans="1:159" s="19" customFormat="1" x14ac:dyDescent="0.3">
      <c r="A10"/>
      <c r="B10"/>
      <c r="C10" s="14"/>
      <c r="D10" s="15"/>
      <c r="E10" s="16"/>
      <c r="F10" s="16"/>
      <c r="G10" s="16"/>
      <c r="H10" s="17"/>
      <c r="I10" s="17"/>
      <c r="J10" s="17"/>
      <c r="K10" s="17"/>
      <c r="L10" s="18"/>
      <c r="M10" s="18"/>
      <c r="N10" s="12"/>
      <c r="O10" s="12"/>
      <c r="P10" s="14"/>
      <c r="Q10" s="14"/>
      <c r="R10" s="14"/>
    </row>
    <row r="11" spans="1:159" s="19" customFormat="1" x14ac:dyDescent="0.3">
      <c r="C11" s="14"/>
      <c r="D11" s="15"/>
      <c r="E11" s="16"/>
      <c r="F11" s="16"/>
      <c r="G11" s="16"/>
      <c r="H11" s="17"/>
      <c r="I11" s="17"/>
      <c r="J11" s="17"/>
      <c r="K11" s="17"/>
      <c r="L11" s="17"/>
      <c r="M11" s="17"/>
      <c r="N11" s="12"/>
      <c r="O11" s="12"/>
      <c r="P11" s="14"/>
      <c r="Q11" s="14"/>
      <c r="R11" s="14"/>
      <c r="AN11"/>
      <c r="AO11"/>
      <c r="AP11"/>
      <c r="AQ11"/>
      <c r="AR11"/>
      <c r="AS11"/>
      <c r="AT11"/>
    </row>
    <row r="12" spans="1:159" x14ac:dyDescent="0.3">
      <c r="C12" s="3" t="s">
        <v>113</v>
      </c>
      <c r="D12" s="3"/>
      <c r="E12" s="3"/>
      <c r="F12" s="3"/>
      <c r="G12" s="3"/>
      <c r="H12" s="3"/>
      <c r="I12" s="3"/>
      <c r="J12" s="3"/>
      <c r="K12" s="3"/>
      <c r="L12" s="3"/>
      <c r="M12" s="3"/>
      <c r="N12" s="3"/>
      <c r="O12" s="3"/>
      <c r="P12" s="3"/>
    </row>
    <row r="14" spans="1:159" x14ac:dyDescent="0.3">
      <c r="C14" s="20" t="s">
        <v>114</v>
      </c>
    </row>
    <row r="15" spans="1:159" ht="14.4" customHeight="1" x14ac:dyDescent="0.3"/>
    <row r="16" spans="1:159" x14ac:dyDescent="0.3">
      <c r="C16" s="21" t="s">
        <v>116</v>
      </c>
    </row>
    <row r="17" spans="3:16" ht="14.4" customHeight="1" x14ac:dyDescent="0.3">
      <c r="D17" s="114" t="s">
        <v>921</v>
      </c>
      <c r="E17" s="114"/>
      <c r="F17" s="114"/>
      <c r="G17" s="114"/>
      <c r="H17" s="114"/>
      <c r="I17" s="114"/>
      <c r="J17" s="114"/>
      <c r="K17" s="114"/>
      <c r="L17" s="114"/>
      <c r="M17" s="114"/>
      <c r="N17" s="114"/>
      <c r="O17" s="22"/>
      <c r="P17" s="22"/>
    </row>
    <row r="18" spans="3:16" x14ac:dyDescent="0.3">
      <c r="C18" s="21" t="s">
        <v>118</v>
      </c>
    </row>
    <row r="19" spans="3:16" x14ac:dyDescent="0.3">
      <c r="D19" s="115"/>
      <c r="E19" s="115"/>
      <c r="F19" s="115"/>
      <c r="G19" s="115"/>
      <c r="H19" s="115"/>
      <c r="I19" s="115"/>
      <c r="J19" s="115"/>
      <c r="K19" s="115"/>
      <c r="L19" s="115"/>
      <c r="M19" s="115"/>
      <c r="N19" s="115"/>
      <c r="O19" s="115"/>
      <c r="P19" s="115"/>
    </row>
    <row r="20" spans="3:16" x14ac:dyDescent="0.3">
      <c r="C20" s="21" t="s">
        <v>119</v>
      </c>
    </row>
    <row r="21" spans="3:16" x14ac:dyDescent="0.3">
      <c r="D21" s="115"/>
      <c r="E21" s="115"/>
      <c r="F21" s="115"/>
      <c r="G21" s="115"/>
      <c r="H21" s="115"/>
      <c r="I21" s="115"/>
      <c r="J21" s="115"/>
      <c r="K21" s="115"/>
      <c r="L21" s="115"/>
      <c r="M21" s="115"/>
      <c r="N21" s="115"/>
      <c r="O21" s="115"/>
      <c r="P21" s="115"/>
    </row>
    <row r="22" spans="3:16" x14ac:dyDescent="0.3">
      <c r="D22" s="22"/>
      <c r="E22" s="22"/>
      <c r="F22" s="22"/>
      <c r="G22" s="22"/>
      <c r="H22" s="22"/>
      <c r="I22" s="22"/>
      <c r="J22" s="22"/>
      <c r="K22" s="22"/>
      <c r="L22" s="22"/>
      <c r="M22" s="22"/>
      <c r="N22" s="22"/>
      <c r="O22" s="22"/>
      <c r="P22" s="22"/>
    </row>
    <row r="23" spans="3:16" x14ac:dyDescent="0.3">
      <c r="C23" s="3" t="s">
        <v>120</v>
      </c>
      <c r="D23" s="23"/>
      <c r="E23" s="23"/>
      <c r="F23" s="3"/>
      <c r="G23" s="3"/>
      <c r="H23" s="3"/>
      <c r="I23" s="3"/>
      <c r="J23" s="3"/>
      <c r="K23" s="3"/>
      <c r="L23" s="3"/>
      <c r="M23" s="3"/>
      <c r="N23" s="3"/>
      <c r="O23" s="3"/>
      <c r="P23" s="3"/>
    </row>
    <row r="25" spans="3:16" x14ac:dyDescent="0.3">
      <c r="C25" s="32" t="s">
        <v>918</v>
      </c>
      <c r="D25" s="7">
        <v>1</v>
      </c>
      <c r="E25" s="25" t="s">
        <v>922</v>
      </c>
    </row>
    <row r="27" spans="3:16" x14ac:dyDescent="0.3">
      <c r="C27" s="3" t="s">
        <v>923</v>
      </c>
      <c r="D27" s="3"/>
      <c r="E27" s="3"/>
      <c r="F27" s="3"/>
      <c r="G27" s="3"/>
      <c r="H27" s="3"/>
      <c r="I27" s="3"/>
      <c r="J27" s="3"/>
      <c r="K27" s="3"/>
      <c r="L27" s="3"/>
      <c r="M27" s="3"/>
      <c r="N27" s="3"/>
      <c r="O27" s="3"/>
      <c r="P27" s="3"/>
    </row>
    <row r="29" spans="3:16" x14ac:dyDescent="0.3">
      <c r="C29" s="26" t="s">
        <v>924</v>
      </c>
    </row>
    <row r="30" spans="3:16" x14ac:dyDescent="0.3">
      <c r="D30" s="116" t="s">
        <v>925</v>
      </c>
      <c r="E30" s="116"/>
      <c r="F30" s="116"/>
      <c r="G30" s="116"/>
      <c r="H30" s="116"/>
      <c r="I30" s="116"/>
      <c r="J30" s="116"/>
      <c r="K30" s="116"/>
      <c r="L30" s="116"/>
      <c r="M30" s="116"/>
      <c r="N30" s="116"/>
    </row>
    <row r="32" spans="3:16" x14ac:dyDescent="0.3">
      <c r="C32" s="4" t="s">
        <v>54</v>
      </c>
      <c r="D32" s="4" t="s">
        <v>390</v>
      </c>
      <c r="E32" s="4" t="s">
        <v>133</v>
      </c>
      <c r="F32" s="4" t="s">
        <v>846</v>
      </c>
      <c r="G32" s="4" t="s">
        <v>847</v>
      </c>
      <c r="H32" s="4" t="s">
        <v>370</v>
      </c>
      <c r="I32" s="4" t="s">
        <v>926</v>
      </c>
      <c r="J32" s="4" t="s">
        <v>927</v>
      </c>
    </row>
    <row r="33" spans="3:16" x14ac:dyDescent="0.3">
      <c r="C33" s="5">
        <v>45657</v>
      </c>
      <c r="D33" s="4" t="s">
        <v>403</v>
      </c>
      <c r="E33" s="4">
        <v>342613</v>
      </c>
      <c r="F33" s="6">
        <v>342612</v>
      </c>
      <c r="G33" s="7">
        <v>1</v>
      </c>
      <c r="H33" s="4">
        <v>0</v>
      </c>
      <c r="I33" s="4">
        <v>0</v>
      </c>
      <c r="J33" s="4">
        <v>0</v>
      </c>
    </row>
    <row r="35" spans="3:16" x14ac:dyDescent="0.3">
      <c r="D35" s="3" t="s">
        <v>928</v>
      </c>
      <c r="E35" s="36"/>
      <c r="F35" s="36"/>
      <c r="G35" s="36"/>
      <c r="H35" s="36"/>
      <c r="I35" s="36"/>
      <c r="J35" s="36"/>
      <c r="K35" s="36"/>
      <c r="L35" s="36"/>
      <c r="M35" s="36"/>
      <c r="N35" s="36"/>
      <c r="O35" s="36"/>
      <c r="P35" s="36"/>
    </row>
    <row r="37" spans="3:16" x14ac:dyDescent="0.3">
      <c r="D37" s="26" t="s">
        <v>924</v>
      </c>
    </row>
    <row r="38" spans="3:16" ht="14.4" customHeight="1" x14ac:dyDescent="0.3">
      <c r="E38" s="120" t="s">
        <v>929</v>
      </c>
      <c r="F38" s="121"/>
      <c r="G38" s="121"/>
    </row>
    <row r="40" spans="3:16" x14ac:dyDescent="0.3">
      <c r="D40" s="32" t="s">
        <v>930</v>
      </c>
      <c r="E40" s="32" t="s">
        <v>931</v>
      </c>
      <c r="F40" s="32" t="s">
        <v>932</v>
      </c>
      <c r="G40" s="19" t="s">
        <v>933</v>
      </c>
    </row>
    <row r="41" spans="3:16" x14ac:dyDescent="0.3">
      <c r="D41" s="32" t="s">
        <v>934</v>
      </c>
      <c r="E41" s="32" t="s">
        <v>841</v>
      </c>
      <c r="F41" s="33" t="s">
        <v>935</v>
      </c>
      <c r="G41" s="37" t="s">
        <v>936</v>
      </c>
    </row>
    <row r="43" spans="3:16" x14ac:dyDescent="0.3">
      <c r="C43" s="3" t="s">
        <v>121</v>
      </c>
      <c r="D43" s="3"/>
      <c r="E43" s="3"/>
      <c r="F43" s="3"/>
      <c r="G43" s="3"/>
      <c r="H43" s="3"/>
      <c r="I43" s="3"/>
      <c r="J43" s="3"/>
      <c r="K43" s="3"/>
      <c r="L43" s="3"/>
      <c r="M43" s="3"/>
      <c r="N43" s="3"/>
      <c r="O43" s="3"/>
      <c r="P43" s="3"/>
    </row>
    <row r="45" spans="3:16" x14ac:dyDescent="0.3">
      <c r="C45" s="26" t="s">
        <v>924</v>
      </c>
    </row>
    <row r="46" spans="3:16" x14ac:dyDescent="0.3">
      <c r="D46" s="116" t="s">
        <v>937</v>
      </c>
      <c r="E46" s="116"/>
      <c r="F46" s="116"/>
      <c r="G46" s="116"/>
      <c r="H46" s="116"/>
      <c r="I46" s="116"/>
      <c r="J46" s="116"/>
      <c r="K46" s="116"/>
      <c r="L46" s="116"/>
      <c r="M46" s="116"/>
      <c r="N46" s="116"/>
    </row>
    <row r="48" spans="3:16" x14ac:dyDescent="0.3">
      <c r="C48" s="4" t="s">
        <v>54</v>
      </c>
      <c r="D48" s="4" t="s">
        <v>390</v>
      </c>
      <c r="E48" s="4" t="s">
        <v>133</v>
      </c>
      <c r="F48" s="4" t="s">
        <v>846</v>
      </c>
      <c r="G48" s="4" t="s">
        <v>847</v>
      </c>
      <c r="H48" s="4" t="s">
        <v>370</v>
      </c>
      <c r="I48" s="4" t="s">
        <v>926</v>
      </c>
      <c r="J48" s="4" t="s">
        <v>927</v>
      </c>
    </row>
    <row r="49" spans="3:16" x14ac:dyDescent="0.3">
      <c r="C49" s="5">
        <v>45657</v>
      </c>
      <c r="D49" s="4" t="s">
        <v>403</v>
      </c>
      <c r="E49" s="4">
        <v>342613</v>
      </c>
      <c r="F49" s="6">
        <v>342613</v>
      </c>
      <c r="G49" s="4">
        <v>0</v>
      </c>
      <c r="H49" s="4">
        <v>0</v>
      </c>
      <c r="I49" s="4">
        <v>0</v>
      </c>
      <c r="J49" s="4">
        <v>0</v>
      </c>
    </row>
    <row r="51" spans="3:16" x14ac:dyDescent="0.3">
      <c r="C51" s="3" t="s">
        <v>872</v>
      </c>
      <c r="D51" s="3"/>
      <c r="E51" s="3"/>
      <c r="F51" s="3"/>
      <c r="G51" s="3"/>
      <c r="H51" s="3"/>
      <c r="I51" s="3"/>
      <c r="J51" s="3"/>
      <c r="K51" s="3"/>
      <c r="L51" s="3"/>
      <c r="M51" s="3"/>
      <c r="N51" s="3"/>
      <c r="O51" s="3"/>
      <c r="P51" s="3"/>
    </row>
    <row r="53" spans="3:16" x14ac:dyDescent="0.3">
      <c r="C53" s="26" t="s">
        <v>21</v>
      </c>
    </row>
    <row r="54" spans="3:16" x14ac:dyDescent="0.3">
      <c r="D54" s="116" t="s">
        <v>938</v>
      </c>
      <c r="E54" s="116"/>
      <c r="F54" s="116"/>
      <c r="G54" s="116"/>
      <c r="H54" s="116"/>
      <c r="I54" s="116"/>
      <c r="J54" s="116"/>
      <c r="K54" s="116"/>
      <c r="L54" s="116"/>
      <c r="M54" s="116"/>
      <c r="N54" s="116"/>
    </row>
    <row r="56" spans="3:16" x14ac:dyDescent="0.3">
      <c r="C56" s="4" t="s">
        <v>54</v>
      </c>
      <c r="D56" s="4" t="s">
        <v>390</v>
      </c>
      <c r="E56" s="4" t="s">
        <v>133</v>
      </c>
      <c r="F56" s="4" t="s">
        <v>846</v>
      </c>
      <c r="G56" s="4" t="s">
        <v>847</v>
      </c>
      <c r="H56" s="4" t="s">
        <v>370</v>
      </c>
      <c r="I56" s="4" t="s">
        <v>926</v>
      </c>
      <c r="J56" s="4" t="s">
        <v>927</v>
      </c>
    </row>
    <row r="57" spans="3:16" x14ac:dyDescent="0.3">
      <c r="C57" s="5">
        <v>45657</v>
      </c>
      <c r="D57" s="4" t="s">
        <v>403</v>
      </c>
      <c r="E57" s="4">
        <v>342613</v>
      </c>
      <c r="F57" s="6">
        <v>342613</v>
      </c>
      <c r="G57" s="4">
        <v>0</v>
      </c>
      <c r="H57" s="6">
        <v>0</v>
      </c>
      <c r="I57" s="4">
        <v>0</v>
      </c>
      <c r="J57" s="4">
        <v>0</v>
      </c>
    </row>
    <row r="59" spans="3:16" x14ac:dyDescent="0.3">
      <c r="C59" s="26" t="s">
        <v>22</v>
      </c>
    </row>
    <row r="60" spans="3:16" x14ac:dyDescent="0.3">
      <c r="D60" s="116" t="s">
        <v>939</v>
      </c>
      <c r="E60" s="116"/>
      <c r="F60" s="116"/>
      <c r="G60" s="116"/>
      <c r="H60" s="116"/>
      <c r="I60" s="116"/>
      <c r="J60" s="116"/>
      <c r="K60" s="116"/>
      <c r="L60" s="116"/>
      <c r="M60" s="116"/>
      <c r="N60" s="116"/>
    </row>
    <row r="62" spans="3:16" x14ac:dyDescent="0.3">
      <c r="C62" s="4" t="s">
        <v>54</v>
      </c>
      <c r="D62" s="4" t="s">
        <v>390</v>
      </c>
      <c r="E62" s="4" t="s">
        <v>133</v>
      </c>
      <c r="F62" s="4" t="s">
        <v>846</v>
      </c>
      <c r="G62" s="4" t="s">
        <v>847</v>
      </c>
      <c r="H62" s="4" t="s">
        <v>370</v>
      </c>
      <c r="I62" s="4" t="s">
        <v>926</v>
      </c>
      <c r="J62" s="4" t="s">
        <v>927</v>
      </c>
    </row>
    <row r="63" spans="3:16" x14ac:dyDescent="0.3">
      <c r="C63" s="5">
        <v>45657</v>
      </c>
      <c r="D63" s="4" t="s">
        <v>403</v>
      </c>
      <c r="E63" s="4">
        <v>342613</v>
      </c>
      <c r="F63" s="6">
        <v>342613</v>
      </c>
      <c r="G63" s="4">
        <v>0</v>
      </c>
      <c r="H63" s="6">
        <v>0</v>
      </c>
      <c r="I63" s="4">
        <v>0</v>
      </c>
      <c r="J63" s="4">
        <v>0</v>
      </c>
    </row>
    <row r="154" ht="44.4" customHeight="1" x14ac:dyDescent="0.3"/>
    <row r="156" ht="14.4" customHeight="1" x14ac:dyDescent="0.3"/>
    <row r="168" ht="14.4" customHeight="1" x14ac:dyDescent="0.3"/>
  </sheetData>
  <mergeCells count="8">
    <mergeCell ref="D46:N46"/>
    <mergeCell ref="D54:N54"/>
    <mergeCell ref="D60:N60"/>
    <mergeCell ref="D17:N17"/>
    <mergeCell ref="D19:P19"/>
    <mergeCell ref="D21:P21"/>
    <mergeCell ref="D30:N30"/>
    <mergeCell ref="E38:G3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1A332-8B1F-4662-83DF-88A8E5A75788}">
  <dimension ref="A2:MK167"/>
  <sheetViews>
    <sheetView zoomScaleNormal="100" workbookViewId="0">
      <selection activeCell="E34" sqref="E34"/>
    </sheetView>
  </sheetViews>
  <sheetFormatPr defaultRowHeight="14.4" x14ac:dyDescent="0.3"/>
  <cols>
    <col min="3" max="3" width="26.5546875" bestFit="1" customWidth="1"/>
    <col min="4" max="4" width="27.44140625" bestFit="1" customWidth="1"/>
    <col min="5" max="5" width="32.5546875" customWidth="1"/>
    <col min="6" max="6" width="15" bestFit="1" customWidth="1"/>
    <col min="7" max="7" width="18.44140625" bestFit="1" customWidth="1"/>
    <col min="8" max="8" width="19.88671875" bestFit="1" customWidth="1"/>
    <col min="9" max="9" width="9.88671875" bestFit="1" customWidth="1"/>
    <col min="10" max="10" width="22.88671875" customWidth="1"/>
    <col min="11" max="11" width="20.109375" bestFit="1" customWidth="1"/>
    <col min="12" max="12" width="28.44140625" bestFit="1" customWidth="1"/>
    <col min="13" max="13" width="15.109375" bestFit="1" customWidth="1"/>
    <col min="14" max="14" width="15.5546875" bestFit="1" customWidth="1"/>
    <col min="15" max="15" width="15.109375" bestFit="1" customWidth="1"/>
    <col min="16" max="16" width="11.109375" bestFit="1" customWidth="1"/>
    <col min="17" max="17" width="10.109375" customWidth="1"/>
    <col min="18" max="18" width="9.5546875" bestFit="1" customWidth="1"/>
  </cols>
  <sheetData>
    <row r="2" spans="1:349" x14ac:dyDescent="0.3">
      <c r="B2" s="1" t="s">
        <v>940</v>
      </c>
      <c r="C2" s="1"/>
      <c r="D2" s="1"/>
      <c r="E2" s="1"/>
      <c r="F2" s="1"/>
      <c r="G2" s="1"/>
      <c r="H2" s="1"/>
      <c r="I2" s="1"/>
      <c r="J2" s="1"/>
      <c r="K2" s="1"/>
      <c r="L2" s="1"/>
      <c r="M2" s="1"/>
      <c r="N2" s="1"/>
      <c r="O2" s="1"/>
      <c r="P2" s="1"/>
    </row>
    <row r="3" spans="1:349" x14ac:dyDescent="0.3">
      <c r="B3" s="2"/>
    </row>
    <row r="4" spans="1:349" x14ac:dyDescent="0.3">
      <c r="B4" s="2"/>
    </row>
    <row r="5" spans="1:349" x14ac:dyDescent="0.3">
      <c r="C5" s="3" t="s">
        <v>52</v>
      </c>
      <c r="D5" s="3"/>
      <c r="E5" s="3"/>
      <c r="F5" s="3"/>
      <c r="G5" s="3"/>
      <c r="H5" s="3"/>
      <c r="I5" s="3"/>
      <c r="J5" s="3"/>
      <c r="K5" s="3"/>
      <c r="L5" s="3"/>
      <c r="M5" s="3"/>
      <c r="N5" s="3"/>
      <c r="O5" s="3"/>
      <c r="P5" s="3"/>
    </row>
    <row r="6" spans="1:349" x14ac:dyDescent="0.3">
      <c r="B6" s="32" t="s">
        <v>941</v>
      </c>
      <c r="C6" s="32" t="s">
        <v>133</v>
      </c>
      <c r="D6" s="32" t="s">
        <v>54</v>
      </c>
      <c r="E6" s="32" t="s">
        <v>942</v>
      </c>
      <c r="F6" s="32" t="s">
        <v>367</v>
      </c>
      <c r="G6" s="32" t="s">
        <v>367</v>
      </c>
      <c r="H6" s="32" t="s">
        <v>390</v>
      </c>
      <c r="I6" s="32" t="s">
        <v>211</v>
      </c>
      <c r="J6" s="32" t="s">
        <v>212</v>
      </c>
      <c r="K6" s="32" t="s">
        <v>943</v>
      </c>
      <c r="L6" s="32" t="s">
        <v>944</v>
      </c>
      <c r="M6" s="32" t="s">
        <v>215</v>
      </c>
      <c r="N6" s="32" t="s">
        <v>216</v>
      </c>
      <c r="O6" s="32" t="s">
        <v>406</v>
      </c>
      <c r="P6" s="32" t="s">
        <v>407</v>
      </c>
      <c r="Q6" s="32" t="s">
        <v>219</v>
      </c>
      <c r="R6" s="32" t="s">
        <v>220</v>
      </c>
      <c r="S6" s="32" t="s">
        <v>408</v>
      </c>
      <c r="T6" s="32" t="s">
        <v>409</v>
      </c>
      <c r="U6" s="32" t="s">
        <v>945</v>
      </c>
      <c r="V6" s="32" t="s">
        <v>946</v>
      </c>
      <c r="W6" s="32" t="s">
        <v>947</v>
      </c>
      <c r="X6" s="32" t="s">
        <v>948</v>
      </c>
      <c r="Y6" s="32" t="s">
        <v>949</v>
      </c>
      <c r="Z6" s="32" t="s">
        <v>950</v>
      </c>
      <c r="AA6" s="32" t="s">
        <v>951</v>
      </c>
      <c r="AB6" s="32" t="s">
        <v>952</v>
      </c>
      <c r="AC6" s="32" t="s">
        <v>953</v>
      </c>
      <c r="AD6" s="32" t="s">
        <v>954</v>
      </c>
      <c r="AE6" s="32" t="s">
        <v>955</v>
      </c>
      <c r="AF6" s="32" t="s">
        <v>956</v>
      </c>
      <c r="AG6" s="32" t="s">
        <v>957</v>
      </c>
      <c r="AH6" s="32" t="s">
        <v>958</v>
      </c>
      <c r="AI6" s="32" t="s">
        <v>959</v>
      </c>
      <c r="AJ6" s="32" t="s">
        <v>960</v>
      </c>
      <c r="AK6" s="32" t="s">
        <v>961</v>
      </c>
      <c r="AL6" s="32" t="s">
        <v>962</v>
      </c>
      <c r="AM6" s="32" t="s">
        <v>963</v>
      </c>
      <c r="AN6" s="32" t="s">
        <v>964</v>
      </c>
      <c r="AO6" s="32" t="s">
        <v>965</v>
      </c>
      <c r="AP6" s="32" t="s">
        <v>966</v>
      </c>
      <c r="AQ6" s="32" t="s">
        <v>967</v>
      </c>
      <c r="AR6" s="32" t="s">
        <v>968</v>
      </c>
      <c r="AS6" s="32" t="s">
        <v>969</v>
      </c>
      <c r="AT6" s="32" t="s">
        <v>970</v>
      </c>
      <c r="AU6" s="32" t="s">
        <v>971</v>
      </c>
      <c r="AV6" s="32" t="s">
        <v>972</v>
      </c>
      <c r="AW6" s="32" t="s">
        <v>973</v>
      </c>
      <c r="AX6" s="32" t="s">
        <v>974</v>
      </c>
      <c r="AY6" s="32" t="s">
        <v>975</v>
      </c>
      <c r="AZ6" s="32" t="s">
        <v>976</v>
      </c>
      <c r="BA6" s="32" t="s">
        <v>977</v>
      </c>
      <c r="BB6" s="32" t="s">
        <v>978</v>
      </c>
      <c r="BC6" s="32" t="s">
        <v>979</v>
      </c>
      <c r="BD6" s="32" t="s">
        <v>980</v>
      </c>
      <c r="BE6" s="32" t="s">
        <v>981</v>
      </c>
      <c r="BF6" s="32" t="s">
        <v>982</v>
      </c>
      <c r="BG6" s="32" t="s">
        <v>983</v>
      </c>
      <c r="BH6" s="32" t="s">
        <v>984</v>
      </c>
      <c r="BI6" s="32" t="s">
        <v>985</v>
      </c>
      <c r="BJ6" s="32" t="s">
        <v>986</v>
      </c>
      <c r="BK6" s="32" t="s">
        <v>987</v>
      </c>
      <c r="BL6" s="32" t="s">
        <v>988</v>
      </c>
      <c r="BM6" s="32" t="s">
        <v>989</v>
      </c>
      <c r="BN6" s="32" t="s">
        <v>990</v>
      </c>
      <c r="BO6" s="32" t="s">
        <v>991</v>
      </c>
      <c r="BP6" s="32" t="s">
        <v>992</v>
      </c>
      <c r="BQ6" s="32" t="s">
        <v>993</v>
      </c>
      <c r="BR6" s="32" t="s">
        <v>994</v>
      </c>
      <c r="BS6" s="32" t="s">
        <v>995</v>
      </c>
      <c r="BT6" s="32" t="s">
        <v>996</v>
      </c>
      <c r="BU6" s="32" t="s">
        <v>997</v>
      </c>
      <c r="BV6" s="32" t="s">
        <v>998</v>
      </c>
      <c r="BW6" s="32" t="s">
        <v>999</v>
      </c>
      <c r="BX6" s="32" t="s">
        <v>1000</v>
      </c>
      <c r="BY6" s="32" t="s">
        <v>1001</v>
      </c>
      <c r="BZ6" s="32" t="s">
        <v>1002</v>
      </c>
      <c r="CA6" s="32" t="s">
        <v>1003</v>
      </c>
      <c r="CB6" s="32" t="s">
        <v>1004</v>
      </c>
      <c r="CC6" s="32" t="s">
        <v>1005</v>
      </c>
      <c r="CD6" s="32" t="s">
        <v>1006</v>
      </c>
      <c r="CE6" s="32" t="s">
        <v>1007</v>
      </c>
      <c r="CF6" s="32" t="s">
        <v>1008</v>
      </c>
      <c r="CG6" s="32" t="s">
        <v>1009</v>
      </c>
      <c r="CH6" s="32" t="s">
        <v>1010</v>
      </c>
      <c r="CI6" s="32" t="s">
        <v>1011</v>
      </c>
      <c r="CJ6" s="32" t="s">
        <v>1012</v>
      </c>
      <c r="CK6" s="32" t="s">
        <v>1013</v>
      </c>
      <c r="CL6" s="32" t="s">
        <v>1014</v>
      </c>
      <c r="CM6" s="32" t="s">
        <v>1015</v>
      </c>
      <c r="CN6" s="32" t="s">
        <v>1016</v>
      </c>
      <c r="CO6" s="32" t="s">
        <v>1017</v>
      </c>
      <c r="CP6" s="32" t="s">
        <v>1018</v>
      </c>
      <c r="CQ6" s="32" t="s">
        <v>1019</v>
      </c>
      <c r="CR6" s="32" t="s">
        <v>1020</v>
      </c>
      <c r="CS6" s="32" t="s">
        <v>1021</v>
      </c>
      <c r="CT6" s="32" t="s">
        <v>1022</v>
      </c>
      <c r="CU6" s="32" t="s">
        <v>1023</v>
      </c>
      <c r="CV6" s="32" t="s">
        <v>1024</v>
      </c>
      <c r="CW6" s="32" t="s">
        <v>1025</v>
      </c>
      <c r="CX6" s="32" t="s">
        <v>1026</v>
      </c>
      <c r="CY6" s="32" t="s">
        <v>1027</v>
      </c>
      <c r="CZ6" s="32" t="s">
        <v>1028</v>
      </c>
      <c r="DA6" s="32" t="s">
        <v>1029</v>
      </c>
      <c r="DB6" s="32" t="s">
        <v>1030</v>
      </c>
      <c r="DC6" s="32" t="s">
        <v>1031</v>
      </c>
      <c r="DD6" s="32" t="s">
        <v>1032</v>
      </c>
      <c r="DE6" s="32" t="s">
        <v>1033</v>
      </c>
      <c r="DF6" s="32" t="s">
        <v>1034</v>
      </c>
      <c r="DG6" s="32" t="s">
        <v>1035</v>
      </c>
      <c r="DH6" s="32" t="s">
        <v>1036</v>
      </c>
      <c r="DI6" s="32" t="s">
        <v>1037</v>
      </c>
      <c r="DJ6" s="32" t="s">
        <v>1038</v>
      </c>
      <c r="DK6" s="32" t="s">
        <v>1039</v>
      </c>
      <c r="DL6" s="32" t="s">
        <v>1040</v>
      </c>
      <c r="DM6" s="32" t="s">
        <v>1041</v>
      </c>
      <c r="DN6" s="32" t="s">
        <v>1042</v>
      </c>
      <c r="DO6" s="32" t="s">
        <v>1043</v>
      </c>
      <c r="DP6" s="32" t="s">
        <v>1044</v>
      </c>
      <c r="DQ6" s="32" t="s">
        <v>1045</v>
      </c>
      <c r="DR6" s="32" t="s">
        <v>1046</v>
      </c>
      <c r="DS6" s="32" t="s">
        <v>1047</v>
      </c>
      <c r="DT6" s="32" t="s">
        <v>1048</v>
      </c>
      <c r="DU6" s="32" t="s">
        <v>1049</v>
      </c>
      <c r="DV6" s="32" t="s">
        <v>1050</v>
      </c>
      <c r="DW6" s="32" t="s">
        <v>1051</v>
      </c>
      <c r="DX6" s="32" t="s">
        <v>1052</v>
      </c>
      <c r="DY6" s="32" t="s">
        <v>1053</v>
      </c>
      <c r="DZ6" s="32" t="s">
        <v>1054</v>
      </c>
      <c r="EA6" s="32" t="s">
        <v>1055</v>
      </c>
      <c r="EB6" s="32" t="s">
        <v>1056</v>
      </c>
      <c r="EC6" s="32" t="s">
        <v>1057</v>
      </c>
      <c r="ED6" s="32" t="s">
        <v>1058</v>
      </c>
      <c r="EE6" s="32" t="s">
        <v>1059</v>
      </c>
      <c r="EF6" s="32" t="s">
        <v>1060</v>
      </c>
      <c r="EG6" s="32" t="s">
        <v>1061</v>
      </c>
      <c r="EH6" s="32" t="s">
        <v>1062</v>
      </c>
      <c r="EI6" s="32" t="s">
        <v>1063</v>
      </c>
      <c r="EJ6" s="32" t="s">
        <v>1064</v>
      </c>
      <c r="EK6" s="32" t="s">
        <v>1065</v>
      </c>
      <c r="EL6" s="32" t="s">
        <v>1066</v>
      </c>
      <c r="EM6" s="32" t="s">
        <v>1067</v>
      </c>
      <c r="EN6" s="32" t="s">
        <v>1068</v>
      </c>
      <c r="EO6" s="32" t="s">
        <v>1069</v>
      </c>
      <c r="EP6" s="32" t="s">
        <v>1070</v>
      </c>
      <c r="EQ6" s="32" t="s">
        <v>1071</v>
      </c>
      <c r="ER6" s="32" t="s">
        <v>1072</v>
      </c>
      <c r="ES6" s="32" t="s">
        <v>1073</v>
      </c>
      <c r="ET6" s="32" t="s">
        <v>1074</v>
      </c>
      <c r="EU6" s="32" t="s">
        <v>1075</v>
      </c>
      <c r="EV6" s="32" t="s">
        <v>1076</v>
      </c>
      <c r="EW6" s="32" t="s">
        <v>1077</v>
      </c>
      <c r="EX6" s="32" t="s">
        <v>1078</v>
      </c>
      <c r="EY6" s="32" t="s">
        <v>1079</v>
      </c>
      <c r="EZ6" s="32" t="s">
        <v>1080</v>
      </c>
      <c r="FA6" s="32" t="s">
        <v>1081</v>
      </c>
      <c r="FB6" s="32" t="s">
        <v>1082</v>
      </c>
      <c r="FC6" s="32" t="s">
        <v>1083</v>
      </c>
      <c r="FD6" s="32" t="s">
        <v>1084</v>
      </c>
      <c r="FE6" s="32" t="s">
        <v>1085</v>
      </c>
      <c r="FF6" s="32" t="s">
        <v>1086</v>
      </c>
      <c r="FG6" s="32" t="s">
        <v>1087</v>
      </c>
      <c r="FH6" s="32" t="s">
        <v>1088</v>
      </c>
      <c r="FI6" s="32" t="s">
        <v>1089</v>
      </c>
      <c r="FJ6" s="32" t="s">
        <v>1090</v>
      </c>
      <c r="FK6" s="32" t="s">
        <v>1091</v>
      </c>
      <c r="FL6" s="32" t="s">
        <v>1092</v>
      </c>
      <c r="FM6" s="32" t="s">
        <v>1093</v>
      </c>
      <c r="FN6" s="32" t="s">
        <v>1094</v>
      </c>
      <c r="FO6" s="32" t="s">
        <v>1095</v>
      </c>
      <c r="FP6" s="32" t="s">
        <v>1096</v>
      </c>
      <c r="FQ6" s="32" t="s">
        <v>1097</v>
      </c>
      <c r="FR6" s="32" t="s">
        <v>1098</v>
      </c>
      <c r="FS6" s="32" t="s">
        <v>1099</v>
      </c>
      <c r="FT6" s="32" t="s">
        <v>1100</v>
      </c>
      <c r="FU6" s="32" t="s">
        <v>1101</v>
      </c>
      <c r="FV6" s="32" t="s">
        <v>1102</v>
      </c>
      <c r="FW6" s="32" t="s">
        <v>1103</v>
      </c>
      <c r="FX6" s="32" t="s">
        <v>1104</v>
      </c>
      <c r="FY6" s="32" t="s">
        <v>1105</v>
      </c>
      <c r="FZ6" s="32" t="s">
        <v>1106</v>
      </c>
      <c r="GA6" s="32" t="s">
        <v>1107</v>
      </c>
      <c r="GB6" s="32" t="s">
        <v>1108</v>
      </c>
      <c r="GC6" s="32" t="s">
        <v>1109</v>
      </c>
      <c r="GD6" s="32" t="s">
        <v>1110</v>
      </c>
      <c r="GE6" s="32" t="s">
        <v>1111</v>
      </c>
      <c r="GF6" s="32" t="s">
        <v>1112</v>
      </c>
      <c r="GG6" s="32" t="s">
        <v>1113</v>
      </c>
      <c r="GH6" s="32" t="s">
        <v>1114</v>
      </c>
      <c r="GI6" s="32" t="s">
        <v>1115</v>
      </c>
      <c r="GJ6" s="32" t="s">
        <v>1116</v>
      </c>
      <c r="GK6" s="32" t="s">
        <v>1117</v>
      </c>
      <c r="GL6" s="32" t="s">
        <v>1118</v>
      </c>
      <c r="GM6" s="32" t="s">
        <v>1119</v>
      </c>
      <c r="GN6" s="32" t="s">
        <v>1120</v>
      </c>
      <c r="GO6" s="32" t="s">
        <v>1121</v>
      </c>
      <c r="GP6" s="32" t="s">
        <v>1122</v>
      </c>
      <c r="GQ6" s="32" t="s">
        <v>1123</v>
      </c>
      <c r="GR6" s="32" t="s">
        <v>1124</v>
      </c>
      <c r="GS6" s="32" t="s">
        <v>1125</v>
      </c>
      <c r="GT6" s="32" t="s">
        <v>1126</v>
      </c>
      <c r="GU6" s="32" t="s">
        <v>1127</v>
      </c>
      <c r="GV6" s="32" t="s">
        <v>1128</v>
      </c>
      <c r="GW6" s="32" t="s">
        <v>1129</v>
      </c>
      <c r="GX6" s="32" t="s">
        <v>1130</v>
      </c>
      <c r="GY6" s="32" t="s">
        <v>1131</v>
      </c>
      <c r="GZ6" s="32" t="s">
        <v>1132</v>
      </c>
      <c r="HA6" s="32" t="s">
        <v>1133</v>
      </c>
      <c r="HB6" s="32" t="s">
        <v>1134</v>
      </c>
      <c r="HC6" s="32" t="s">
        <v>1135</v>
      </c>
      <c r="HD6" s="32" t="s">
        <v>1136</v>
      </c>
      <c r="HE6" s="32" t="s">
        <v>1137</v>
      </c>
      <c r="HF6" s="32" t="s">
        <v>1138</v>
      </c>
      <c r="HG6" s="32" t="s">
        <v>1139</v>
      </c>
      <c r="HH6" s="32" t="s">
        <v>1140</v>
      </c>
      <c r="HI6" s="32" t="s">
        <v>1141</v>
      </c>
      <c r="HJ6" s="32" t="s">
        <v>1142</v>
      </c>
      <c r="HK6" s="32" t="s">
        <v>1143</v>
      </c>
      <c r="HL6" s="32" t="s">
        <v>1144</v>
      </c>
      <c r="HM6" s="32" t="s">
        <v>1145</v>
      </c>
      <c r="HN6" s="32" t="s">
        <v>1146</v>
      </c>
      <c r="HO6" s="32" t="s">
        <v>1147</v>
      </c>
      <c r="HP6" s="32" t="s">
        <v>1148</v>
      </c>
      <c r="HQ6" s="32" t="s">
        <v>1149</v>
      </c>
      <c r="HR6" s="32" t="s">
        <v>1150</v>
      </c>
      <c r="HS6" s="32" t="s">
        <v>1151</v>
      </c>
      <c r="HT6" s="32" t="s">
        <v>1152</v>
      </c>
      <c r="HU6" s="32" t="s">
        <v>1153</v>
      </c>
      <c r="HV6" s="32" t="s">
        <v>1154</v>
      </c>
      <c r="HW6" s="32" t="s">
        <v>1155</v>
      </c>
      <c r="HX6" s="32" t="s">
        <v>1156</v>
      </c>
      <c r="HY6" s="32" t="s">
        <v>1157</v>
      </c>
      <c r="HZ6" s="32" t="s">
        <v>1158</v>
      </c>
      <c r="IA6" s="32" t="s">
        <v>1159</v>
      </c>
      <c r="IB6" s="32" t="s">
        <v>1160</v>
      </c>
      <c r="IC6" s="32" t="s">
        <v>1161</v>
      </c>
      <c r="ID6" s="32" t="s">
        <v>1162</v>
      </c>
      <c r="IE6" s="32" t="s">
        <v>1163</v>
      </c>
      <c r="IF6" s="32" t="s">
        <v>1164</v>
      </c>
      <c r="IG6" s="32" t="s">
        <v>1165</v>
      </c>
      <c r="IH6" s="32" t="s">
        <v>1166</v>
      </c>
      <c r="II6" s="32" t="s">
        <v>1167</v>
      </c>
      <c r="IJ6" s="32" t="s">
        <v>1168</v>
      </c>
      <c r="IK6" s="32" t="s">
        <v>1169</v>
      </c>
      <c r="IL6" s="32" t="s">
        <v>1170</v>
      </c>
      <c r="IM6" s="32" t="s">
        <v>1171</v>
      </c>
      <c r="IN6" s="32" t="s">
        <v>1172</v>
      </c>
      <c r="IO6" s="32" t="s">
        <v>1173</v>
      </c>
      <c r="IP6" s="32" t="s">
        <v>1174</v>
      </c>
      <c r="IQ6" s="32" t="s">
        <v>1175</v>
      </c>
      <c r="IR6" s="32" t="s">
        <v>1176</v>
      </c>
      <c r="IS6" s="32" t="s">
        <v>1177</v>
      </c>
      <c r="IT6" s="32" t="s">
        <v>1178</v>
      </c>
      <c r="IU6" s="32" t="s">
        <v>1179</v>
      </c>
      <c r="IV6" s="32" t="s">
        <v>1180</v>
      </c>
      <c r="IW6" s="32" t="s">
        <v>1181</v>
      </c>
      <c r="IX6" s="32" t="s">
        <v>1182</v>
      </c>
      <c r="IY6" s="32" t="s">
        <v>1183</v>
      </c>
      <c r="IZ6" s="32" t="s">
        <v>1184</v>
      </c>
      <c r="JA6" s="32" t="s">
        <v>1185</v>
      </c>
      <c r="JB6" s="32" t="s">
        <v>1186</v>
      </c>
      <c r="JC6" s="32" t="s">
        <v>1187</v>
      </c>
      <c r="JD6" s="32" t="s">
        <v>1188</v>
      </c>
      <c r="JE6" s="32" t="s">
        <v>1189</v>
      </c>
      <c r="JF6" s="32" t="s">
        <v>1190</v>
      </c>
      <c r="JG6" s="32" t="s">
        <v>1191</v>
      </c>
      <c r="JH6" s="32" t="s">
        <v>1192</v>
      </c>
      <c r="JI6" s="32" t="s">
        <v>1193</v>
      </c>
      <c r="JJ6" s="32" t="s">
        <v>1194</v>
      </c>
      <c r="JK6" s="32" t="s">
        <v>1195</v>
      </c>
      <c r="JL6" s="32" t="s">
        <v>1196</v>
      </c>
      <c r="JM6" s="32" t="s">
        <v>1197</v>
      </c>
      <c r="JN6" s="32" t="s">
        <v>1198</v>
      </c>
      <c r="JO6" s="32" t="s">
        <v>1199</v>
      </c>
      <c r="JP6" s="32" t="s">
        <v>1200</v>
      </c>
      <c r="JQ6" s="32" t="s">
        <v>1201</v>
      </c>
      <c r="JR6" s="32" t="s">
        <v>1202</v>
      </c>
      <c r="JS6" s="32" t="s">
        <v>1203</v>
      </c>
      <c r="JT6" s="32" t="s">
        <v>1204</v>
      </c>
      <c r="JU6" s="32" t="s">
        <v>1205</v>
      </c>
      <c r="JV6" s="32" t="s">
        <v>1206</v>
      </c>
      <c r="JW6" s="32" t="s">
        <v>1207</v>
      </c>
      <c r="JX6" s="32" t="s">
        <v>1208</v>
      </c>
      <c r="JY6" s="32" t="s">
        <v>1209</v>
      </c>
      <c r="JZ6" s="32" t="s">
        <v>1210</v>
      </c>
      <c r="KA6" s="32" t="s">
        <v>1211</v>
      </c>
      <c r="KB6" s="32" t="s">
        <v>1212</v>
      </c>
      <c r="KC6" s="32" t="s">
        <v>1213</v>
      </c>
      <c r="KD6" s="32" t="s">
        <v>1214</v>
      </c>
      <c r="KE6" s="32" t="s">
        <v>1215</v>
      </c>
      <c r="KF6" s="32" t="s">
        <v>1216</v>
      </c>
      <c r="KG6" s="32" t="s">
        <v>1217</v>
      </c>
      <c r="KH6" s="32" t="s">
        <v>1218</v>
      </c>
      <c r="KI6" s="32" t="s">
        <v>1219</v>
      </c>
      <c r="KJ6" s="32" t="s">
        <v>1220</v>
      </c>
      <c r="KK6" s="32" t="s">
        <v>1221</v>
      </c>
      <c r="KL6" s="32" t="s">
        <v>1222</v>
      </c>
      <c r="KM6" s="32" t="s">
        <v>1223</v>
      </c>
      <c r="KN6" s="32" t="s">
        <v>1224</v>
      </c>
      <c r="KO6" s="32" t="s">
        <v>1225</v>
      </c>
      <c r="KP6" s="32" t="s">
        <v>1226</v>
      </c>
      <c r="KQ6" s="32" t="s">
        <v>1227</v>
      </c>
      <c r="KR6" s="32" t="s">
        <v>1228</v>
      </c>
      <c r="KS6" s="32" t="s">
        <v>1229</v>
      </c>
      <c r="KT6" s="32" t="s">
        <v>1230</v>
      </c>
      <c r="KU6" s="32" t="s">
        <v>1231</v>
      </c>
      <c r="KV6" s="32" t="s">
        <v>1232</v>
      </c>
      <c r="KW6" s="32" t="s">
        <v>1233</v>
      </c>
      <c r="KX6" s="32" t="s">
        <v>1234</v>
      </c>
      <c r="KY6" s="32" t="s">
        <v>1235</v>
      </c>
      <c r="KZ6" s="32" t="s">
        <v>1236</v>
      </c>
      <c r="LA6" s="32" t="s">
        <v>1237</v>
      </c>
      <c r="LB6" s="32" t="s">
        <v>1238</v>
      </c>
      <c r="LC6" s="32" t="s">
        <v>1239</v>
      </c>
      <c r="LD6" s="32" t="s">
        <v>1240</v>
      </c>
      <c r="LE6" s="32" t="s">
        <v>1241</v>
      </c>
      <c r="LF6" s="32" t="s">
        <v>1242</v>
      </c>
      <c r="LG6" s="32" t="s">
        <v>1243</v>
      </c>
      <c r="LH6" s="32" t="s">
        <v>1244</v>
      </c>
      <c r="LI6" s="32" t="s">
        <v>1245</v>
      </c>
      <c r="LJ6" s="32" t="s">
        <v>1246</v>
      </c>
      <c r="LK6" s="32" t="s">
        <v>1247</v>
      </c>
      <c r="LL6" s="32" t="s">
        <v>1248</v>
      </c>
      <c r="LM6" s="32" t="s">
        <v>1249</v>
      </c>
      <c r="LN6" s="32" t="s">
        <v>1250</v>
      </c>
      <c r="LO6" s="32" t="s">
        <v>1251</v>
      </c>
      <c r="LP6" s="32" t="s">
        <v>1252</v>
      </c>
      <c r="LQ6" s="32" t="s">
        <v>1253</v>
      </c>
      <c r="LR6" s="32" t="s">
        <v>1254</v>
      </c>
      <c r="LS6" s="32" t="s">
        <v>1255</v>
      </c>
      <c r="LT6" s="32" t="s">
        <v>1256</v>
      </c>
      <c r="LU6" s="32" t="s">
        <v>562</v>
      </c>
      <c r="LV6" s="32" t="s">
        <v>563</v>
      </c>
      <c r="LW6" s="32" t="s">
        <v>564</v>
      </c>
      <c r="LX6" s="32" t="s">
        <v>565</v>
      </c>
      <c r="LY6" s="32" t="s">
        <v>235</v>
      </c>
      <c r="LZ6" s="32" t="s">
        <v>236</v>
      </c>
      <c r="MA6" s="32" t="s">
        <v>566</v>
      </c>
      <c r="MB6" s="32" t="s">
        <v>567</v>
      </c>
      <c r="MC6" s="32" t="s">
        <v>239</v>
      </c>
      <c r="MD6" s="32" t="s">
        <v>240</v>
      </c>
      <c r="ME6" s="32" t="s">
        <v>568</v>
      </c>
      <c r="MF6" s="32" t="s">
        <v>569</v>
      </c>
      <c r="MG6" s="32" t="s">
        <v>1257</v>
      </c>
      <c r="MH6" s="32" t="s">
        <v>1258</v>
      </c>
      <c r="MI6" s="32" t="s">
        <v>1259</v>
      </c>
      <c r="MJ6" s="32" t="s">
        <v>1260</v>
      </c>
      <c r="MK6" s="19"/>
    </row>
    <row r="7" spans="1:349" x14ac:dyDescent="0.3">
      <c r="C7" s="4">
        <v>342613</v>
      </c>
      <c r="D7" s="32" t="s">
        <v>183</v>
      </c>
      <c r="E7" s="32" t="s">
        <v>941</v>
      </c>
      <c r="F7" s="32" t="s">
        <v>1261</v>
      </c>
      <c r="G7" s="32" t="s">
        <v>1262</v>
      </c>
      <c r="H7" s="32" t="s">
        <v>1263</v>
      </c>
      <c r="I7" s="4">
        <v>342613</v>
      </c>
      <c r="J7" s="4">
        <v>0</v>
      </c>
      <c r="K7" s="4">
        <v>0</v>
      </c>
      <c r="L7" s="4">
        <v>0</v>
      </c>
      <c r="M7" s="4">
        <v>342613</v>
      </c>
      <c r="N7" s="4">
        <v>0</v>
      </c>
      <c r="O7" s="4">
        <v>0</v>
      </c>
      <c r="P7" s="4">
        <v>0</v>
      </c>
      <c r="Q7" s="4">
        <v>342613</v>
      </c>
      <c r="R7" s="4">
        <v>0</v>
      </c>
      <c r="S7" s="4">
        <v>0</v>
      </c>
      <c r="T7" s="4">
        <v>0</v>
      </c>
      <c r="U7" s="4">
        <v>342613</v>
      </c>
      <c r="V7" s="4">
        <v>0</v>
      </c>
      <c r="W7" s="4">
        <v>0</v>
      </c>
      <c r="X7" s="4">
        <v>0</v>
      </c>
      <c r="Y7" s="4">
        <v>342613</v>
      </c>
      <c r="Z7" s="4">
        <v>0</v>
      </c>
      <c r="AA7" s="4">
        <v>0</v>
      </c>
      <c r="AB7" s="4">
        <v>0</v>
      </c>
      <c r="AC7" s="4">
        <v>342613</v>
      </c>
      <c r="AD7" s="4">
        <v>0</v>
      </c>
      <c r="AE7" s="4">
        <v>0</v>
      </c>
      <c r="AF7" s="4">
        <v>0</v>
      </c>
      <c r="AG7" s="4">
        <v>342613</v>
      </c>
      <c r="AH7" s="4">
        <v>0</v>
      </c>
      <c r="AI7" s="4">
        <v>0</v>
      </c>
      <c r="AJ7" s="4">
        <v>0</v>
      </c>
      <c r="AK7" s="4">
        <v>342613</v>
      </c>
      <c r="AL7" s="4">
        <v>0</v>
      </c>
      <c r="AM7" s="4">
        <v>0</v>
      </c>
      <c r="AN7" s="4">
        <v>0</v>
      </c>
      <c r="AO7" s="4">
        <v>342613</v>
      </c>
      <c r="AP7" s="4">
        <v>0</v>
      </c>
      <c r="AQ7" s="4">
        <v>0</v>
      </c>
      <c r="AR7" s="4">
        <v>0</v>
      </c>
      <c r="AS7" s="4">
        <v>342613</v>
      </c>
      <c r="AT7" s="4">
        <v>0</v>
      </c>
      <c r="AU7" s="4">
        <v>0</v>
      </c>
      <c r="AV7" s="4">
        <v>0</v>
      </c>
      <c r="AW7" s="4">
        <v>342613</v>
      </c>
      <c r="AX7" s="4">
        <v>0</v>
      </c>
      <c r="AY7" s="4">
        <v>0</v>
      </c>
      <c r="AZ7" s="4">
        <v>0</v>
      </c>
      <c r="BA7" s="4">
        <v>342613</v>
      </c>
      <c r="BB7" s="4">
        <v>0</v>
      </c>
      <c r="BC7" s="4">
        <v>0</v>
      </c>
      <c r="BD7" s="4">
        <v>0</v>
      </c>
      <c r="BE7" s="4">
        <v>342613</v>
      </c>
      <c r="BF7" s="4">
        <v>0</v>
      </c>
      <c r="BG7" s="4">
        <v>0</v>
      </c>
      <c r="BH7" s="4">
        <v>0</v>
      </c>
      <c r="BI7" s="4">
        <v>342613</v>
      </c>
      <c r="BJ7" s="4">
        <v>0</v>
      </c>
      <c r="BK7" s="4">
        <v>0</v>
      </c>
      <c r="BL7" s="4">
        <v>0</v>
      </c>
      <c r="BM7" s="4">
        <v>342613</v>
      </c>
      <c r="BN7" s="4">
        <v>0</v>
      </c>
      <c r="BO7" s="4">
        <v>0</v>
      </c>
      <c r="BP7" s="4">
        <v>0</v>
      </c>
      <c r="BQ7" s="4">
        <v>342613</v>
      </c>
      <c r="BR7" s="4">
        <v>0</v>
      </c>
      <c r="BS7" s="4">
        <v>0</v>
      </c>
      <c r="BT7" s="4">
        <v>0</v>
      </c>
      <c r="BU7" s="4">
        <v>342613</v>
      </c>
      <c r="BV7" s="4">
        <v>0</v>
      </c>
      <c r="BW7" s="4">
        <v>0</v>
      </c>
      <c r="BX7" s="4">
        <v>0</v>
      </c>
      <c r="BY7" s="4">
        <v>342613</v>
      </c>
      <c r="BZ7" s="4">
        <v>0</v>
      </c>
      <c r="CA7" s="4">
        <v>0</v>
      </c>
      <c r="CB7" s="4">
        <v>0</v>
      </c>
      <c r="CC7" s="4">
        <v>342613</v>
      </c>
      <c r="CD7" s="4">
        <v>0</v>
      </c>
      <c r="CE7" s="4">
        <v>0</v>
      </c>
      <c r="CF7" s="4">
        <v>0</v>
      </c>
      <c r="CG7" s="4">
        <v>342613</v>
      </c>
      <c r="CH7" s="4">
        <v>0</v>
      </c>
      <c r="CI7" s="4">
        <v>0</v>
      </c>
      <c r="CJ7" s="4">
        <v>0</v>
      </c>
      <c r="CK7" s="4">
        <v>342613</v>
      </c>
      <c r="CL7" s="4">
        <v>0</v>
      </c>
      <c r="CM7" s="4">
        <v>0</v>
      </c>
      <c r="CN7" s="4">
        <v>0</v>
      </c>
      <c r="CO7" s="4">
        <v>342613</v>
      </c>
      <c r="CP7" s="4">
        <v>0</v>
      </c>
      <c r="CQ7" s="4">
        <v>0</v>
      </c>
      <c r="CR7" s="4">
        <v>0</v>
      </c>
      <c r="CS7" s="4">
        <v>342613</v>
      </c>
      <c r="CT7" s="4">
        <v>0</v>
      </c>
      <c r="CU7" s="4">
        <v>0</v>
      </c>
      <c r="CV7" s="4">
        <v>0</v>
      </c>
      <c r="CW7" s="4">
        <v>342613</v>
      </c>
      <c r="CX7" s="4">
        <v>0</v>
      </c>
      <c r="CY7" s="4">
        <v>0</v>
      </c>
      <c r="CZ7" s="4">
        <v>0</v>
      </c>
      <c r="DA7" s="4">
        <v>342613</v>
      </c>
      <c r="DB7" s="4">
        <v>0</v>
      </c>
      <c r="DC7" s="4">
        <v>0</v>
      </c>
      <c r="DD7" s="4">
        <v>0</v>
      </c>
      <c r="DE7" s="4">
        <v>342613</v>
      </c>
      <c r="DF7" s="4">
        <v>0</v>
      </c>
      <c r="DG7" s="4">
        <v>0</v>
      </c>
      <c r="DH7" s="4">
        <v>0</v>
      </c>
      <c r="DI7" s="4">
        <v>342613</v>
      </c>
      <c r="DJ7" s="4">
        <v>0</v>
      </c>
      <c r="DK7" s="4">
        <v>0</v>
      </c>
      <c r="DL7" s="4">
        <v>0</v>
      </c>
      <c r="DM7" s="4">
        <v>342613</v>
      </c>
      <c r="DN7" s="4">
        <v>0</v>
      </c>
      <c r="DO7" s="4">
        <v>0</v>
      </c>
      <c r="DP7" s="4">
        <v>0</v>
      </c>
      <c r="DQ7" s="4">
        <v>342613</v>
      </c>
      <c r="DR7" s="4">
        <v>0</v>
      </c>
      <c r="DS7" s="4">
        <v>0</v>
      </c>
      <c r="DT7" s="4">
        <v>0</v>
      </c>
      <c r="DU7" s="4">
        <v>342613</v>
      </c>
      <c r="DV7" s="4">
        <v>0</v>
      </c>
      <c r="DW7" s="4">
        <v>0</v>
      </c>
      <c r="DX7" s="4">
        <v>0</v>
      </c>
      <c r="DY7" s="4">
        <v>342613</v>
      </c>
      <c r="DZ7" s="4">
        <v>0</v>
      </c>
      <c r="EA7" s="4">
        <v>0</v>
      </c>
      <c r="EB7" s="4">
        <v>0</v>
      </c>
      <c r="EC7" s="4">
        <v>342613</v>
      </c>
      <c r="ED7" s="4">
        <v>0</v>
      </c>
      <c r="EE7" s="4">
        <v>0</v>
      </c>
      <c r="EF7" s="4">
        <v>0</v>
      </c>
      <c r="EG7" s="4">
        <v>342613</v>
      </c>
      <c r="EH7" s="4">
        <v>0</v>
      </c>
      <c r="EI7" s="4">
        <v>0</v>
      </c>
      <c r="EJ7" s="4">
        <v>0</v>
      </c>
      <c r="EK7" s="4">
        <v>342613</v>
      </c>
      <c r="EL7" s="4">
        <v>0</v>
      </c>
      <c r="EM7" s="4">
        <v>0</v>
      </c>
      <c r="EN7" s="4">
        <v>0</v>
      </c>
      <c r="EO7" s="4">
        <v>342613</v>
      </c>
      <c r="EP7" s="4">
        <v>0</v>
      </c>
      <c r="EQ7" s="4">
        <v>0</v>
      </c>
      <c r="ER7" s="4">
        <v>0</v>
      </c>
      <c r="ES7" s="4">
        <v>342613</v>
      </c>
      <c r="ET7" s="4">
        <v>0</v>
      </c>
      <c r="EU7" s="4">
        <v>0</v>
      </c>
      <c r="EV7" s="4">
        <v>0</v>
      </c>
      <c r="EW7" s="4">
        <v>342613</v>
      </c>
      <c r="EX7" s="4">
        <v>0</v>
      </c>
      <c r="EY7" s="4">
        <v>0</v>
      </c>
      <c r="EZ7" s="4">
        <v>0</v>
      </c>
      <c r="FA7" s="4">
        <v>342613</v>
      </c>
      <c r="FB7" s="4">
        <v>0</v>
      </c>
      <c r="FC7" s="4">
        <v>0</v>
      </c>
      <c r="FD7" s="4">
        <v>0</v>
      </c>
      <c r="FE7" s="4">
        <v>342613</v>
      </c>
      <c r="FF7" s="4">
        <v>0</v>
      </c>
      <c r="FG7" s="4">
        <v>0</v>
      </c>
      <c r="FH7" s="4">
        <v>0</v>
      </c>
      <c r="FI7" s="4">
        <v>342613</v>
      </c>
      <c r="FJ7" s="4">
        <v>0</v>
      </c>
      <c r="FK7" s="4">
        <v>0</v>
      </c>
      <c r="FL7" s="4">
        <v>0</v>
      </c>
      <c r="FM7" s="4">
        <v>342613</v>
      </c>
      <c r="FN7" s="4">
        <v>0</v>
      </c>
      <c r="FO7" s="4">
        <v>0</v>
      </c>
      <c r="FP7" s="4">
        <v>0</v>
      </c>
      <c r="FQ7" s="4">
        <v>342613</v>
      </c>
      <c r="FR7" s="4">
        <v>0</v>
      </c>
      <c r="FS7" s="4">
        <v>0</v>
      </c>
      <c r="FT7" s="4">
        <v>0</v>
      </c>
      <c r="FU7" s="4">
        <v>342613</v>
      </c>
      <c r="FV7" s="4">
        <v>0</v>
      </c>
      <c r="FW7" s="4">
        <v>0</v>
      </c>
      <c r="FX7" s="4">
        <v>0</v>
      </c>
      <c r="FY7" s="4">
        <v>342613</v>
      </c>
      <c r="FZ7" s="4">
        <v>0</v>
      </c>
      <c r="GA7" s="4">
        <v>0</v>
      </c>
      <c r="GB7" s="4">
        <v>0</v>
      </c>
      <c r="GC7" s="4">
        <v>342613</v>
      </c>
      <c r="GD7" s="4">
        <v>0</v>
      </c>
      <c r="GE7" s="4">
        <v>0</v>
      </c>
      <c r="GF7" s="4">
        <v>0</v>
      </c>
      <c r="GG7" s="4">
        <v>342613</v>
      </c>
      <c r="GH7" s="4">
        <v>0</v>
      </c>
      <c r="GI7" s="4">
        <v>0</v>
      </c>
      <c r="GJ7" s="4">
        <v>0</v>
      </c>
      <c r="GK7" s="4">
        <v>342613</v>
      </c>
      <c r="GL7" s="4">
        <v>0</v>
      </c>
      <c r="GM7" s="4">
        <v>0</v>
      </c>
      <c r="GN7" s="4">
        <v>0</v>
      </c>
      <c r="GO7" s="4">
        <v>342613</v>
      </c>
      <c r="GP7" s="4">
        <v>0</v>
      </c>
      <c r="GQ7" s="4">
        <v>0</v>
      </c>
      <c r="GR7" s="4">
        <v>0</v>
      </c>
      <c r="GS7" s="4">
        <v>342613</v>
      </c>
      <c r="GT7" s="4">
        <v>0</v>
      </c>
      <c r="GU7" s="4">
        <v>0</v>
      </c>
      <c r="GV7" s="4">
        <v>0</v>
      </c>
      <c r="GW7" s="4">
        <v>342613</v>
      </c>
      <c r="GX7" s="4">
        <v>0</v>
      </c>
      <c r="GY7" s="4">
        <v>0</v>
      </c>
      <c r="GZ7" s="4">
        <v>0</v>
      </c>
      <c r="HA7" s="4">
        <v>342613</v>
      </c>
      <c r="HB7" s="4">
        <v>0</v>
      </c>
      <c r="HC7" s="4">
        <v>0</v>
      </c>
      <c r="HD7" s="4">
        <v>0</v>
      </c>
      <c r="HE7" s="4">
        <v>342613</v>
      </c>
      <c r="HF7" s="4">
        <v>0</v>
      </c>
      <c r="HG7" s="4">
        <v>0</v>
      </c>
      <c r="HH7" s="4">
        <v>0</v>
      </c>
      <c r="HI7" s="4">
        <v>342613</v>
      </c>
      <c r="HJ7" s="4">
        <v>0</v>
      </c>
      <c r="HK7" s="4">
        <v>0</v>
      </c>
      <c r="HL7" s="4">
        <v>0</v>
      </c>
      <c r="HM7" s="4">
        <v>342613</v>
      </c>
      <c r="HN7" s="4">
        <v>0</v>
      </c>
      <c r="HO7" s="4">
        <v>0</v>
      </c>
      <c r="HP7" s="4">
        <v>0</v>
      </c>
      <c r="HQ7" s="4">
        <v>342613</v>
      </c>
      <c r="HR7" s="4">
        <v>0</v>
      </c>
      <c r="HS7" s="4">
        <v>0</v>
      </c>
      <c r="HT7" s="4">
        <v>0</v>
      </c>
      <c r="HU7" s="4">
        <v>342613</v>
      </c>
      <c r="HV7" s="4">
        <v>0</v>
      </c>
      <c r="HW7" s="4">
        <v>0</v>
      </c>
      <c r="HX7" s="4">
        <v>0</v>
      </c>
      <c r="HY7" s="4">
        <v>342613</v>
      </c>
      <c r="HZ7" s="4">
        <v>0</v>
      </c>
      <c r="IA7" s="4">
        <v>0</v>
      </c>
      <c r="IB7" s="4">
        <v>0</v>
      </c>
      <c r="IC7" s="4">
        <v>342613</v>
      </c>
      <c r="ID7" s="4">
        <v>0</v>
      </c>
      <c r="IE7" s="4">
        <v>0</v>
      </c>
      <c r="IF7" s="4">
        <v>0</v>
      </c>
      <c r="IG7" s="4">
        <v>342613</v>
      </c>
      <c r="IH7" s="4">
        <v>0</v>
      </c>
      <c r="II7" s="4">
        <v>0</v>
      </c>
      <c r="IJ7" s="4">
        <v>0</v>
      </c>
      <c r="IK7" s="4">
        <v>342613</v>
      </c>
      <c r="IL7" s="4">
        <v>0</v>
      </c>
      <c r="IM7" s="4">
        <v>0</v>
      </c>
      <c r="IN7" s="4">
        <v>0</v>
      </c>
      <c r="IO7" s="4">
        <v>342613</v>
      </c>
      <c r="IP7" s="4">
        <v>0</v>
      </c>
      <c r="IQ7" s="4">
        <v>0</v>
      </c>
      <c r="IR7" s="4">
        <v>0</v>
      </c>
      <c r="IS7" s="4">
        <v>342613</v>
      </c>
      <c r="IT7" s="4">
        <v>0</v>
      </c>
      <c r="IU7" s="4">
        <v>0</v>
      </c>
      <c r="IV7" s="4">
        <v>0</v>
      </c>
      <c r="IW7" s="4">
        <v>342613</v>
      </c>
      <c r="IX7" s="4">
        <v>0</v>
      </c>
      <c r="IY7" s="4">
        <v>0</v>
      </c>
      <c r="IZ7" s="4">
        <v>0</v>
      </c>
      <c r="JA7" s="4">
        <v>342613</v>
      </c>
      <c r="JB7" s="4">
        <v>0</v>
      </c>
      <c r="JC7" s="4">
        <v>0</v>
      </c>
      <c r="JD7" s="4">
        <v>0</v>
      </c>
      <c r="JE7" s="4">
        <v>342613</v>
      </c>
      <c r="JF7" s="4">
        <v>0</v>
      </c>
      <c r="JG7" s="4">
        <v>0</v>
      </c>
      <c r="JH7" s="4">
        <v>0</v>
      </c>
      <c r="JI7" s="4">
        <v>342613</v>
      </c>
      <c r="JJ7" s="4">
        <v>0</v>
      </c>
      <c r="JK7" s="4">
        <v>0</v>
      </c>
      <c r="JL7" s="4">
        <v>0</v>
      </c>
      <c r="JM7" s="4">
        <v>342613</v>
      </c>
      <c r="JN7" s="4">
        <v>0</v>
      </c>
      <c r="JO7" s="4">
        <v>0</v>
      </c>
      <c r="JP7" s="4">
        <v>0</v>
      </c>
      <c r="JQ7" s="4">
        <v>342613</v>
      </c>
      <c r="JR7" s="4">
        <v>0</v>
      </c>
      <c r="JS7" s="4">
        <v>0</v>
      </c>
      <c r="JT7" s="4">
        <v>0</v>
      </c>
      <c r="JU7" s="4">
        <v>342613</v>
      </c>
      <c r="JV7" s="4">
        <v>0</v>
      </c>
      <c r="JW7" s="4">
        <v>0</v>
      </c>
      <c r="JX7" s="4">
        <v>0</v>
      </c>
      <c r="JY7" s="4">
        <v>342613</v>
      </c>
      <c r="JZ7" s="4">
        <v>0</v>
      </c>
      <c r="KA7" s="4">
        <v>0</v>
      </c>
      <c r="KB7" s="4">
        <v>0</v>
      </c>
      <c r="KC7" s="4">
        <v>342613</v>
      </c>
      <c r="KD7" s="4">
        <v>0</v>
      </c>
      <c r="KE7" s="4">
        <v>0</v>
      </c>
      <c r="KF7" s="4">
        <v>0</v>
      </c>
      <c r="KG7" s="4">
        <v>342613</v>
      </c>
      <c r="KH7" s="4">
        <v>0</v>
      </c>
      <c r="KI7" s="4">
        <v>0</v>
      </c>
      <c r="KJ7" s="4">
        <v>0</v>
      </c>
      <c r="KK7" s="4">
        <v>342613</v>
      </c>
      <c r="KL7" s="4">
        <v>0</v>
      </c>
      <c r="KM7" s="4">
        <v>0</v>
      </c>
      <c r="KN7" s="4">
        <v>0</v>
      </c>
      <c r="KO7" s="4">
        <v>342613</v>
      </c>
      <c r="KP7" s="4">
        <v>0</v>
      </c>
      <c r="KQ7" s="4">
        <v>0</v>
      </c>
      <c r="KR7" s="4">
        <v>0</v>
      </c>
      <c r="KS7" s="4">
        <v>342613</v>
      </c>
      <c r="KT7" s="4">
        <v>0</v>
      </c>
      <c r="KU7" s="4">
        <v>0</v>
      </c>
      <c r="KV7" s="4">
        <v>0</v>
      </c>
      <c r="KW7" s="4">
        <v>342613</v>
      </c>
      <c r="KX7" s="4">
        <v>0</v>
      </c>
      <c r="KY7" s="4">
        <v>0</v>
      </c>
      <c r="KZ7" s="4">
        <v>0</v>
      </c>
      <c r="LA7" s="4">
        <v>342613</v>
      </c>
      <c r="LB7" s="4">
        <v>0</v>
      </c>
      <c r="LC7" s="4">
        <v>0</v>
      </c>
      <c r="LD7" s="4">
        <v>0</v>
      </c>
      <c r="LE7" s="4">
        <v>342613</v>
      </c>
      <c r="LF7" s="4">
        <v>0</v>
      </c>
      <c r="LG7" s="4">
        <v>0</v>
      </c>
      <c r="LH7" s="4">
        <v>0</v>
      </c>
      <c r="LI7" s="4">
        <v>342613</v>
      </c>
      <c r="LJ7" s="4">
        <v>0</v>
      </c>
      <c r="LK7" s="4">
        <v>0</v>
      </c>
      <c r="LL7" s="4">
        <v>0</v>
      </c>
      <c r="LM7" s="4">
        <v>342613</v>
      </c>
      <c r="LN7" s="4">
        <v>0</v>
      </c>
      <c r="LO7" s="4">
        <v>0</v>
      </c>
      <c r="LP7" s="4">
        <v>0</v>
      </c>
      <c r="LQ7" s="4">
        <v>342613</v>
      </c>
      <c r="LR7" s="4">
        <v>0</v>
      </c>
      <c r="LS7" s="4">
        <v>0</v>
      </c>
      <c r="LT7" s="4">
        <v>0</v>
      </c>
      <c r="LU7" s="4">
        <v>342613</v>
      </c>
      <c r="LV7" s="4">
        <v>0</v>
      </c>
      <c r="LW7" s="4">
        <v>0</v>
      </c>
      <c r="LX7" s="4">
        <v>0</v>
      </c>
      <c r="LY7" s="4">
        <v>0</v>
      </c>
      <c r="LZ7" s="38">
        <v>342613</v>
      </c>
      <c r="MA7" s="4">
        <v>0</v>
      </c>
      <c r="MB7" s="4">
        <v>0</v>
      </c>
      <c r="MC7" s="4">
        <v>0</v>
      </c>
      <c r="MD7" s="38">
        <v>342613</v>
      </c>
      <c r="ME7" s="4">
        <v>0</v>
      </c>
      <c r="MF7" s="4">
        <v>0</v>
      </c>
      <c r="MG7" s="4">
        <v>342613</v>
      </c>
      <c r="MH7" s="4">
        <v>0</v>
      </c>
      <c r="MI7" s="4">
        <v>0</v>
      </c>
      <c r="MJ7" s="4">
        <v>0</v>
      </c>
      <c r="MK7" s="19"/>
    </row>
    <row r="8" spans="1:349" x14ac:dyDescent="0.3">
      <c r="B8" t="s">
        <v>111</v>
      </c>
      <c r="C8" s="4"/>
      <c r="D8" s="4"/>
      <c r="E8" s="4"/>
      <c r="F8" s="4"/>
      <c r="G8" s="28"/>
      <c r="H8" s="28"/>
      <c r="I8" s="28">
        <f>($C$7-(J7+K7+L7))/$C$7</f>
        <v>1</v>
      </c>
      <c r="J8" s="4"/>
      <c r="K8" s="28"/>
      <c r="L8" s="28"/>
      <c r="M8" s="28">
        <f>($C$7-(N7+O7+P7))/$C$7</f>
        <v>1</v>
      </c>
      <c r="N8" s="28"/>
      <c r="O8" s="28"/>
      <c r="P8" s="28"/>
      <c r="Q8" s="28">
        <f>($C$7-(R7+S7+T7))/$C$7</f>
        <v>1</v>
      </c>
      <c r="R8" s="28"/>
      <c r="S8" s="28"/>
      <c r="T8" s="28"/>
      <c r="U8" s="28">
        <f>($C$7-(V7+W7+X7))/$C$7</f>
        <v>1</v>
      </c>
      <c r="V8" s="28"/>
      <c r="W8" s="28"/>
      <c r="X8" s="28"/>
      <c r="Y8" s="28">
        <f>($C$7-(Z7+AA7+AB7))/$C$7</f>
        <v>1</v>
      </c>
      <c r="Z8" s="28"/>
      <c r="AA8" s="28"/>
      <c r="AB8" s="28"/>
      <c r="AC8" s="28">
        <f>($C$7-(AD7+AE7+AF7))/$C$7</f>
        <v>1</v>
      </c>
      <c r="AD8" s="28"/>
      <c r="AE8" s="28"/>
      <c r="AF8" s="28"/>
      <c r="AG8" s="28">
        <f>($C$7-(AH7+AI7+AJ7))/$C$7</f>
        <v>1</v>
      </c>
      <c r="AH8" s="28"/>
      <c r="AI8" s="28"/>
      <c r="AJ8" s="28"/>
      <c r="AK8" s="28">
        <f>($C$7-(AL7+AM7+AN7))/$C$7</f>
        <v>1</v>
      </c>
      <c r="AL8" s="28"/>
      <c r="AM8" s="28"/>
      <c r="AN8" s="28"/>
      <c r="AO8" s="28">
        <f>($C$7-(AP7+AQ7+AR7))/$C$7</f>
        <v>1</v>
      </c>
      <c r="AP8" s="28"/>
      <c r="AQ8" s="28"/>
      <c r="AR8" s="28"/>
      <c r="AS8" s="28">
        <f>($C$7-(AT7+AU7+AV7))/$C$7</f>
        <v>1</v>
      </c>
      <c r="AT8" s="28"/>
      <c r="AU8" s="28"/>
      <c r="AV8" s="28"/>
      <c r="AW8" s="28">
        <f>($C$7-(AX7+AY7+AZ7))/$C$7</f>
        <v>1</v>
      </c>
      <c r="AX8" s="28"/>
      <c r="AY8" s="28"/>
      <c r="AZ8" s="28"/>
      <c r="BA8" s="28">
        <f>($C$7-(BB7+BC7+BD7))/$C$7</f>
        <v>1</v>
      </c>
      <c r="BB8" s="28"/>
      <c r="BC8" s="28"/>
      <c r="BD8" s="28"/>
      <c r="BE8" s="28">
        <f>($C$7-(BF7+BG7+BH7))/$C$7</f>
        <v>1</v>
      </c>
      <c r="BF8" s="28"/>
      <c r="BG8" s="28"/>
      <c r="BH8" s="28"/>
      <c r="BI8" s="28">
        <f>($C$7-(BJ7+BK7+BL7))/$C$7</f>
        <v>1</v>
      </c>
      <c r="BJ8" s="28"/>
      <c r="BK8" s="28"/>
      <c r="BL8" s="28"/>
      <c r="BM8" s="28">
        <f>($C$7-(BN7+BO7+BP7))/$C$7</f>
        <v>1</v>
      </c>
      <c r="BN8" s="4"/>
      <c r="BO8" s="4"/>
      <c r="BP8" s="4"/>
      <c r="BQ8" s="28">
        <f>($C$7-(BR7+BS7+BT7))/$C$7</f>
        <v>1</v>
      </c>
      <c r="BR8" s="4"/>
      <c r="BS8" s="4"/>
      <c r="BT8" s="4"/>
      <c r="BU8" s="28">
        <f>($C$7-(BV7+BW7+BX7))/$C$7</f>
        <v>1</v>
      </c>
      <c r="BV8" s="4"/>
      <c r="BW8" s="4"/>
      <c r="BX8" s="4"/>
      <c r="BY8" s="28">
        <f>($C$7-(BZ7+CA7+CB7))/$C$7</f>
        <v>1</v>
      </c>
      <c r="BZ8" s="4"/>
      <c r="CA8" s="4"/>
      <c r="CB8" s="4"/>
      <c r="CC8" s="28">
        <f>($C$7-(CD7+CE7+CF7))/$C$7</f>
        <v>1</v>
      </c>
      <c r="CD8" s="4"/>
      <c r="CE8" s="4"/>
      <c r="CF8" s="4"/>
      <c r="CG8" s="28">
        <f>($C$7-(CH7+CI7+CJ7))/$C$7</f>
        <v>1</v>
      </c>
      <c r="CH8" s="4"/>
      <c r="CI8" s="4"/>
      <c r="CJ8" s="4"/>
      <c r="CK8" s="28">
        <f>($C$7-(CL7+CM7+CN7))/$C$7</f>
        <v>1</v>
      </c>
      <c r="CL8" s="4"/>
      <c r="CM8" s="4"/>
      <c r="CN8" s="4"/>
      <c r="CO8" s="28">
        <f>($C$7-(CP7+CQ7+CR7))/$C$7</f>
        <v>1</v>
      </c>
      <c r="CP8" s="4"/>
      <c r="CQ8" s="4"/>
      <c r="CR8" s="4"/>
      <c r="CS8" s="28">
        <f>($C$7-(CT7+CU7+CV7))/$C$7</f>
        <v>1</v>
      </c>
      <c r="CT8" s="4"/>
      <c r="CU8" s="4"/>
      <c r="CV8" s="4"/>
      <c r="CW8" s="28">
        <f>($C$7-(CX7+CY7+CZ7))/$C$7</f>
        <v>1</v>
      </c>
      <c r="CX8" s="4"/>
      <c r="CY8" s="4"/>
      <c r="CZ8" s="4"/>
      <c r="DA8" s="28">
        <f>($C$7-(DB7+DC7+DD7))/$C$7</f>
        <v>1</v>
      </c>
      <c r="DB8" s="4"/>
      <c r="DC8" s="4"/>
      <c r="DD8" s="4"/>
      <c r="DE8" s="28">
        <f>($C$7-(DF7+DG7+DH7))/$C$7</f>
        <v>1</v>
      </c>
      <c r="DF8" s="4"/>
      <c r="DG8" s="4"/>
      <c r="DH8" s="4"/>
      <c r="DI8" s="28">
        <f>($C$7-(DJ7+DK7+DL7))/$C$7</f>
        <v>1</v>
      </c>
      <c r="DJ8" s="4"/>
      <c r="DK8" s="4"/>
      <c r="DL8" s="4"/>
      <c r="DM8" s="28">
        <f>($C$7-(DN7+DO7+DP7))/$C$7</f>
        <v>1</v>
      </c>
      <c r="DN8" s="4"/>
      <c r="DO8" s="4"/>
      <c r="DP8" s="4"/>
      <c r="DQ8" s="28">
        <f>($C$7-(DR7+DS7+DT7))/$C$7</f>
        <v>1</v>
      </c>
      <c r="DR8" s="4"/>
      <c r="DS8" s="4"/>
      <c r="DT8" s="4"/>
      <c r="DU8" s="28">
        <f>($C$7-(DV7+DW7+DX7))/$C$7</f>
        <v>1</v>
      </c>
      <c r="DV8" s="4"/>
      <c r="DW8" s="4"/>
      <c r="DX8" s="4"/>
      <c r="DY8" s="28">
        <f>($C$7-(DZ7+EA7+EB7))/$C$7</f>
        <v>1</v>
      </c>
      <c r="DZ8" s="4"/>
      <c r="EA8" s="4"/>
      <c r="EB8" s="4"/>
      <c r="EC8" s="28">
        <f>($C$7-(ED7+EE7+EF7))/$C$7</f>
        <v>1</v>
      </c>
      <c r="ED8" s="4"/>
      <c r="EE8" s="4"/>
      <c r="EF8" s="4"/>
      <c r="EG8" s="28">
        <f>($C$7-(EH7+EI7+EJ7))/$C$7</f>
        <v>1</v>
      </c>
      <c r="EH8" s="4"/>
      <c r="EI8" s="4"/>
      <c r="EJ8" s="4"/>
      <c r="EK8" s="28">
        <f>($C$7-(EL7+EM7+EN7))/$C$7</f>
        <v>1</v>
      </c>
      <c r="EL8" s="4"/>
      <c r="EM8" s="4"/>
      <c r="EN8" s="4"/>
      <c r="EO8" s="28">
        <f>($C$7-(EP7+EQ7+ER7))/$C$7</f>
        <v>1</v>
      </c>
      <c r="EP8" s="4"/>
      <c r="EQ8" s="4"/>
      <c r="ER8" s="4"/>
      <c r="ES8" s="28">
        <f>($C$7-(ET7+EU7+EV7))/$C$7</f>
        <v>1</v>
      </c>
      <c r="ET8" s="4"/>
      <c r="EU8" s="4"/>
      <c r="EV8" s="4"/>
      <c r="EW8" s="28">
        <f>($C$7-(EX7+EY7+EZ7))/$C$7</f>
        <v>1</v>
      </c>
      <c r="EX8" s="4"/>
      <c r="EY8" s="4"/>
      <c r="EZ8" s="4"/>
      <c r="FA8" s="28">
        <f>($C$7-(FB7+FC7+FD7))/$C$7</f>
        <v>1</v>
      </c>
      <c r="FB8" s="4"/>
      <c r="FC8" s="4"/>
      <c r="FD8" s="4"/>
      <c r="FE8" s="28">
        <f>($C$7-(FF7+FG7+FH7))/$C$7</f>
        <v>1</v>
      </c>
      <c r="FF8" s="4"/>
      <c r="FG8" s="4"/>
      <c r="FH8" s="4"/>
      <c r="FI8" s="28">
        <f>($C$7-(FJ7+FK7+FL7))/$C$7</f>
        <v>1</v>
      </c>
      <c r="FJ8" s="4"/>
      <c r="FK8" s="4"/>
      <c r="FL8" s="4"/>
      <c r="FM8" s="28">
        <f>($C$7-(FN7+FO7+FP7))/$C$7</f>
        <v>1</v>
      </c>
      <c r="FN8" s="4"/>
      <c r="FO8" s="4"/>
      <c r="FP8" s="4"/>
      <c r="FQ8" s="28">
        <f>($C$7-(FR7+FS7+FT7))/$C$7</f>
        <v>1</v>
      </c>
      <c r="FR8" s="4"/>
      <c r="FS8" s="4"/>
      <c r="FT8" s="4"/>
      <c r="FU8" s="28">
        <f>($C$7-(FV7+FW7+FX7))/$C$7</f>
        <v>1</v>
      </c>
      <c r="FV8" s="4"/>
      <c r="FW8" s="4"/>
      <c r="FX8" s="4"/>
      <c r="FY8" s="28">
        <f>($C$7-(FZ7+GA7+GB7))/$C$7</f>
        <v>1</v>
      </c>
      <c r="FZ8" s="4"/>
      <c r="GA8" s="4"/>
      <c r="GB8" s="4"/>
      <c r="GC8" s="28">
        <f>($C$7-(GD7+GE7+GF7))/$C$7</f>
        <v>1</v>
      </c>
      <c r="GD8" s="4"/>
      <c r="GE8" s="4"/>
      <c r="GF8" s="4"/>
      <c r="GG8" s="28">
        <f>($C$7-(GH7+GI7+GJ7))/$C$7</f>
        <v>1</v>
      </c>
      <c r="GH8" s="4"/>
      <c r="GI8" s="4"/>
      <c r="GJ8" s="4"/>
      <c r="GK8" s="28">
        <f>($C$7-(GL7+GM7+GN7))/$C$7</f>
        <v>1</v>
      </c>
      <c r="GL8" s="4"/>
      <c r="GM8" s="4"/>
      <c r="GN8" s="4"/>
      <c r="GO8" s="28">
        <f>($C$7-(GP7+GQ7+GR7))/$C$7</f>
        <v>1</v>
      </c>
      <c r="GP8" s="4"/>
      <c r="GQ8" s="4"/>
      <c r="GR8" s="4"/>
      <c r="GS8" s="28">
        <f>($C$7-(GT7+GU7+GV7))/$C$7</f>
        <v>1</v>
      </c>
      <c r="GT8" s="4"/>
      <c r="GU8" s="4"/>
      <c r="GV8" s="4"/>
      <c r="GW8" s="28">
        <f>($C$7-(GX7+GY7+GZ7))/$C$7</f>
        <v>1</v>
      </c>
      <c r="GX8" s="4"/>
      <c r="GY8" s="4"/>
      <c r="GZ8" s="4"/>
      <c r="HA8" s="28">
        <f>($C$7-(HB7+HC7+HD7))/$C$7</f>
        <v>1</v>
      </c>
      <c r="HB8" s="4"/>
      <c r="HC8" s="4"/>
      <c r="HD8" s="4"/>
      <c r="HE8" s="28">
        <f>($C$7-(HF7+HG7+HH7))/$C$7</f>
        <v>1</v>
      </c>
      <c r="HF8" s="4"/>
      <c r="HG8" s="4"/>
      <c r="HH8" s="4"/>
      <c r="HI8" s="28">
        <f>($C$7-(HJ7+HK7+HL7))/$C$7</f>
        <v>1</v>
      </c>
      <c r="HJ8" s="4"/>
      <c r="HK8" s="4"/>
      <c r="HL8" s="4"/>
      <c r="HM8" s="28">
        <f>($C$7-(HN7+HO7+HP7))/$C$7</f>
        <v>1</v>
      </c>
      <c r="HN8" s="4"/>
      <c r="HO8" s="4"/>
      <c r="HP8" s="4"/>
      <c r="HQ8" s="28">
        <f>($C$7-(HR7+HS7+HT7))/$C$7</f>
        <v>1</v>
      </c>
      <c r="HR8" s="4"/>
      <c r="HS8" s="4"/>
      <c r="HT8" s="4"/>
      <c r="HU8" s="28">
        <f>($C$7-(HV7+HW7+HX7))/$C$7</f>
        <v>1</v>
      </c>
      <c r="HV8" s="4"/>
      <c r="HW8" s="4"/>
      <c r="HX8" s="4"/>
      <c r="HY8" s="28">
        <f>($C$7-(HZ7+IA7+IB7))/$C$7</f>
        <v>1</v>
      </c>
      <c r="HZ8" s="4"/>
      <c r="IA8" s="4"/>
      <c r="IB8" s="4"/>
      <c r="IC8" s="28">
        <f>($C$7-(ID7+IE7+IF7))/$C$7</f>
        <v>1</v>
      </c>
      <c r="ID8" s="4"/>
      <c r="IE8" s="4"/>
      <c r="IF8" s="4"/>
      <c r="IG8" s="28">
        <f>($C$7-(IH7+II7+IJ7))/$C$7</f>
        <v>1</v>
      </c>
      <c r="IH8" s="4"/>
      <c r="II8" s="4"/>
      <c r="IJ8" s="4"/>
      <c r="IK8" s="28">
        <f>($C$7-(IL7+IM7+IN7))/$C$7</f>
        <v>1</v>
      </c>
      <c r="IL8" s="4"/>
      <c r="IM8" s="4"/>
      <c r="IN8" s="4"/>
      <c r="IO8" s="28">
        <f>($C$7-(IP7+IQ7+IR7))/$C$7</f>
        <v>1</v>
      </c>
      <c r="IP8" s="4"/>
      <c r="IQ8" s="4"/>
      <c r="IR8" s="4"/>
      <c r="IS8" s="28">
        <f>($C$7-(IT7+IU7+IV7))/$C$7</f>
        <v>1</v>
      </c>
      <c r="IT8" s="4"/>
      <c r="IU8" s="4"/>
      <c r="IV8" s="4"/>
      <c r="IW8" s="28">
        <f>($C$7-(IX7+IY7+IZ7))/$C$7</f>
        <v>1</v>
      </c>
      <c r="IX8" s="4"/>
      <c r="IY8" s="4"/>
      <c r="IZ8" s="4"/>
      <c r="JA8" s="28">
        <f>($C$7-(JB7+JC7+JD7))/$C$7</f>
        <v>1</v>
      </c>
      <c r="JB8" s="4"/>
      <c r="JC8" s="4"/>
      <c r="JD8" s="4"/>
      <c r="JE8" s="28">
        <f>($C$7-(JF7+JG7+JH7))/$C$7</f>
        <v>1</v>
      </c>
      <c r="JF8" s="4"/>
      <c r="JG8" s="4"/>
      <c r="JH8" s="4"/>
      <c r="JI8" s="28">
        <f>($C$7-(JJ7+JK7+JL7))/$C$7</f>
        <v>1</v>
      </c>
      <c r="JJ8" s="4"/>
      <c r="JK8" s="4"/>
      <c r="JL8" s="4"/>
      <c r="JM8" s="28">
        <f>($C$7-(JN7+JO7+JP7))/$C$7</f>
        <v>1</v>
      </c>
      <c r="JN8" s="4"/>
      <c r="JO8" s="4"/>
      <c r="JP8" s="4"/>
      <c r="JQ8" s="28">
        <f>($C$7-(JR7+JS7+JT7))/$C$7</f>
        <v>1</v>
      </c>
      <c r="JR8" s="4"/>
      <c r="JS8" s="4"/>
      <c r="JT8" s="4"/>
      <c r="JU8" s="28">
        <f>($C$7-(JV7+JW7+JX7))/$C$7</f>
        <v>1</v>
      </c>
      <c r="JV8" s="4"/>
      <c r="JW8" s="4"/>
      <c r="JX8" s="4"/>
      <c r="JY8" s="28">
        <f>($C$7-(JZ7+KA7+KB7))/$C$7</f>
        <v>1</v>
      </c>
      <c r="JZ8" s="4"/>
      <c r="KA8" s="4"/>
      <c r="KB8" s="4"/>
      <c r="KC8" s="28">
        <f>($C$7-(KD7+KE7+KF7))/$C$7</f>
        <v>1</v>
      </c>
      <c r="KD8" s="4"/>
      <c r="KE8" s="4"/>
      <c r="KF8" s="4"/>
      <c r="KG8" s="28">
        <f>($C$7-(KH7+KI7+KJ7))/$C$7</f>
        <v>1</v>
      </c>
      <c r="KH8" s="4"/>
      <c r="KI8" s="4"/>
      <c r="KJ8" s="4"/>
      <c r="KK8" s="28">
        <f>($C$7-(KL7+KM7+KN7))/$C$7</f>
        <v>1</v>
      </c>
      <c r="KL8" s="4"/>
      <c r="KM8" s="4"/>
      <c r="KN8" s="4"/>
      <c r="KO8" s="28">
        <f>($C$7-(KP7+KQ7+KR7))/$C$7</f>
        <v>1</v>
      </c>
      <c r="KP8" s="4"/>
      <c r="KQ8" s="4"/>
      <c r="KR8" s="4"/>
      <c r="KS8" s="28">
        <f>($C$7-(KT7+KU7+KV7))/$C$7</f>
        <v>1</v>
      </c>
      <c r="KT8" s="4"/>
      <c r="KU8" s="4"/>
      <c r="KV8" s="4"/>
      <c r="KW8" s="28">
        <f>($C$7-(KX7+KY7+KZ7))/$C$7</f>
        <v>1</v>
      </c>
      <c r="KX8" s="4"/>
      <c r="KY8" s="4"/>
      <c r="KZ8" s="4"/>
      <c r="LA8" s="28">
        <f>($C$7-(LB7+LC7+LD7))/$C$7</f>
        <v>1</v>
      </c>
      <c r="LB8" s="4"/>
      <c r="LC8" s="4"/>
      <c r="LD8" s="4"/>
      <c r="LE8" s="28">
        <f>($C$7-(LF7+LG7+LH7))/$C$7</f>
        <v>1</v>
      </c>
      <c r="LF8" s="4"/>
      <c r="LG8" s="4"/>
      <c r="LH8" s="4"/>
      <c r="LI8" s="28">
        <f>($C$7-(LJ7+LK7+LL7))/$C$7</f>
        <v>1</v>
      </c>
      <c r="LJ8" s="4"/>
      <c r="LK8" s="4"/>
      <c r="LL8" s="4"/>
      <c r="LM8" s="28">
        <f>($C$7-(LN7+LO7+LP7))/$C$7</f>
        <v>1</v>
      </c>
      <c r="LN8" s="4"/>
      <c r="LO8" s="4"/>
      <c r="LP8" s="4"/>
      <c r="LQ8" s="28">
        <f>($C$7-(LR7+LS7+LT7))/$C$7</f>
        <v>1</v>
      </c>
      <c r="LR8" s="4"/>
      <c r="LS8" s="4"/>
      <c r="LT8" s="4"/>
      <c r="LU8" s="28">
        <f>($C$7-(LV7+LW7+LX7))/$C$7</f>
        <v>1</v>
      </c>
      <c r="LV8" s="4"/>
      <c r="LW8" s="4"/>
      <c r="LX8" s="4"/>
      <c r="LY8" s="28">
        <f>($C$7-(LZ7+MA7+MB7))/$C$7</f>
        <v>0</v>
      </c>
      <c r="LZ8" s="4"/>
      <c r="MA8" s="4"/>
      <c r="MB8" s="4"/>
      <c r="MC8" s="28">
        <f>($C$7-(MD7+ME7+MF7))/$C$7</f>
        <v>0</v>
      </c>
      <c r="MD8" s="4"/>
      <c r="ME8" s="4"/>
      <c r="MF8" s="4"/>
      <c r="MG8" s="28">
        <f>($C$7-(MH7+MI7+MJ7))/$C$7</f>
        <v>1</v>
      </c>
      <c r="MH8" s="40"/>
      <c r="MI8" s="4"/>
      <c r="MJ8" s="4"/>
    </row>
    <row r="9" spans="1:349" x14ac:dyDescent="0.3">
      <c r="B9" s="43" t="s">
        <v>1264</v>
      </c>
      <c r="C9" s="32" t="s">
        <v>133</v>
      </c>
      <c r="D9" s="32" t="s">
        <v>54</v>
      </c>
      <c r="E9" s="32" t="s">
        <v>942</v>
      </c>
      <c r="F9" s="32" t="s">
        <v>367</v>
      </c>
      <c r="G9" s="32" t="s">
        <v>367</v>
      </c>
      <c r="H9" s="32" t="s">
        <v>390</v>
      </c>
      <c r="I9" s="32" t="s">
        <v>211</v>
      </c>
      <c r="J9" s="32" t="s">
        <v>212</v>
      </c>
      <c r="K9" s="32" t="s">
        <v>943</v>
      </c>
      <c r="L9" s="32" t="s">
        <v>944</v>
      </c>
      <c r="M9" s="32" t="s">
        <v>215</v>
      </c>
      <c r="N9" s="41" t="s">
        <v>216</v>
      </c>
      <c r="O9" s="41" t="s">
        <v>406</v>
      </c>
      <c r="P9" s="42" t="s">
        <v>407</v>
      </c>
      <c r="Q9" s="32" t="s">
        <v>219</v>
      </c>
      <c r="R9" s="32" t="s">
        <v>220</v>
      </c>
      <c r="S9" s="32" t="s">
        <v>408</v>
      </c>
      <c r="T9" s="32" t="s">
        <v>409</v>
      </c>
      <c r="U9" s="32" t="s">
        <v>945</v>
      </c>
      <c r="V9" s="32" t="s">
        <v>946</v>
      </c>
      <c r="W9" s="32" t="s">
        <v>947</v>
      </c>
      <c r="X9" s="32" t="s">
        <v>948</v>
      </c>
      <c r="Y9" s="32" t="s">
        <v>949</v>
      </c>
      <c r="Z9" s="32" t="s">
        <v>950</v>
      </c>
      <c r="AA9" s="32" t="s">
        <v>951</v>
      </c>
      <c r="AB9" s="32" t="s">
        <v>952</v>
      </c>
      <c r="AC9" s="32" t="s">
        <v>953</v>
      </c>
      <c r="AD9" s="32" t="s">
        <v>954</v>
      </c>
      <c r="AE9" s="32" t="s">
        <v>955</v>
      </c>
      <c r="AF9" s="32" t="s">
        <v>956</v>
      </c>
      <c r="AG9" s="32" t="s">
        <v>957</v>
      </c>
      <c r="AH9" s="32" t="s">
        <v>958</v>
      </c>
      <c r="AI9" s="32" t="s">
        <v>959</v>
      </c>
      <c r="AJ9" s="32" t="s">
        <v>960</v>
      </c>
      <c r="AK9" s="32" t="s">
        <v>961</v>
      </c>
      <c r="AL9" s="32" t="s">
        <v>962</v>
      </c>
      <c r="AM9" s="32" t="s">
        <v>963</v>
      </c>
      <c r="AN9" s="32" t="s">
        <v>964</v>
      </c>
      <c r="AO9" s="32" t="s">
        <v>965</v>
      </c>
      <c r="AP9" s="32" t="s">
        <v>966</v>
      </c>
      <c r="AQ9" s="32" t="s">
        <v>967</v>
      </c>
      <c r="AR9" s="32" t="s">
        <v>968</v>
      </c>
      <c r="AS9" s="32" t="s">
        <v>969</v>
      </c>
      <c r="AT9" s="32" t="s">
        <v>970</v>
      </c>
      <c r="AU9" s="32" t="s">
        <v>971</v>
      </c>
      <c r="AV9" s="32" t="s">
        <v>972</v>
      </c>
      <c r="AW9" s="32" t="s">
        <v>973</v>
      </c>
      <c r="AX9" s="32" t="s">
        <v>974</v>
      </c>
      <c r="AY9" s="32" t="s">
        <v>975</v>
      </c>
      <c r="AZ9" s="32" t="s">
        <v>976</v>
      </c>
      <c r="BA9" s="32" t="s">
        <v>977</v>
      </c>
      <c r="BB9" s="32" t="s">
        <v>978</v>
      </c>
      <c r="BC9" s="32" t="s">
        <v>979</v>
      </c>
      <c r="BD9" s="32" t="s">
        <v>980</v>
      </c>
      <c r="BE9" s="32" t="s">
        <v>981</v>
      </c>
      <c r="BF9" s="32" t="s">
        <v>982</v>
      </c>
      <c r="BG9" s="32" t="s">
        <v>983</v>
      </c>
      <c r="BH9" s="32" t="s">
        <v>984</v>
      </c>
      <c r="BI9" s="32" t="s">
        <v>985</v>
      </c>
      <c r="BJ9" s="32" t="s">
        <v>986</v>
      </c>
      <c r="BK9" s="32" t="s">
        <v>987</v>
      </c>
      <c r="BL9" s="32" t="s">
        <v>988</v>
      </c>
      <c r="BM9" s="32" t="s">
        <v>989</v>
      </c>
      <c r="BN9" s="32" t="s">
        <v>990</v>
      </c>
      <c r="BO9" s="32" t="s">
        <v>991</v>
      </c>
      <c r="BP9" s="32" t="s">
        <v>992</v>
      </c>
      <c r="BQ9" s="32" t="s">
        <v>993</v>
      </c>
      <c r="BR9" s="32" t="s">
        <v>994</v>
      </c>
      <c r="BS9" s="32" t="s">
        <v>995</v>
      </c>
      <c r="BT9" s="32" t="s">
        <v>996</v>
      </c>
      <c r="BU9" s="32" t="s">
        <v>997</v>
      </c>
      <c r="BV9" s="32" t="s">
        <v>998</v>
      </c>
      <c r="BW9" s="32" t="s">
        <v>999</v>
      </c>
      <c r="BX9" s="32" t="s">
        <v>1000</v>
      </c>
      <c r="BY9" s="32" t="s">
        <v>1001</v>
      </c>
      <c r="BZ9" s="32" t="s">
        <v>1002</v>
      </c>
      <c r="CA9" s="32" t="s">
        <v>1003</v>
      </c>
      <c r="CB9" s="32" t="s">
        <v>1004</v>
      </c>
      <c r="CC9" s="32" t="s">
        <v>1005</v>
      </c>
      <c r="CD9" s="32" t="s">
        <v>1006</v>
      </c>
      <c r="CE9" s="32" t="s">
        <v>1007</v>
      </c>
      <c r="CF9" s="32" t="s">
        <v>1008</v>
      </c>
      <c r="CG9" s="32" t="s">
        <v>1009</v>
      </c>
      <c r="CH9" s="32" t="s">
        <v>1010</v>
      </c>
      <c r="CI9" s="32" t="s">
        <v>1011</v>
      </c>
      <c r="CJ9" s="32" t="s">
        <v>1012</v>
      </c>
      <c r="CK9" s="32" t="s">
        <v>1013</v>
      </c>
      <c r="CL9" s="32" t="s">
        <v>1014</v>
      </c>
      <c r="CM9" s="32" t="s">
        <v>1015</v>
      </c>
      <c r="CN9" s="32" t="s">
        <v>1016</v>
      </c>
      <c r="CO9" s="32" t="s">
        <v>1017</v>
      </c>
      <c r="CP9" s="32" t="s">
        <v>1018</v>
      </c>
      <c r="CQ9" s="32" t="s">
        <v>1019</v>
      </c>
      <c r="CR9" s="32" t="s">
        <v>1020</v>
      </c>
      <c r="CS9" s="32" t="s">
        <v>1021</v>
      </c>
      <c r="CT9" s="32" t="s">
        <v>1022</v>
      </c>
      <c r="CU9" s="32" t="s">
        <v>1023</v>
      </c>
      <c r="CV9" s="32" t="s">
        <v>1024</v>
      </c>
      <c r="CW9" s="32" t="s">
        <v>1025</v>
      </c>
      <c r="CX9" s="32" t="s">
        <v>1026</v>
      </c>
      <c r="CY9" s="32" t="s">
        <v>1027</v>
      </c>
      <c r="CZ9" s="32" t="s">
        <v>1028</v>
      </c>
      <c r="DA9" s="32" t="s">
        <v>1029</v>
      </c>
      <c r="DB9" s="32" t="s">
        <v>1030</v>
      </c>
      <c r="DC9" s="32" t="s">
        <v>1031</v>
      </c>
      <c r="DD9" s="32" t="s">
        <v>1032</v>
      </c>
      <c r="DE9" s="32" t="s">
        <v>1033</v>
      </c>
      <c r="DF9" s="32" t="s">
        <v>1034</v>
      </c>
      <c r="DG9" s="32" t="s">
        <v>1035</v>
      </c>
      <c r="DH9" s="32" t="s">
        <v>1036</v>
      </c>
      <c r="DI9" s="32" t="s">
        <v>1037</v>
      </c>
      <c r="DJ9" s="32" t="s">
        <v>1038</v>
      </c>
      <c r="DK9" s="32" t="s">
        <v>1039</v>
      </c>
      <c r="DL9" s="32" t="s">
        <v>1040</v>
      </c>
      <c r="DM9" s="32" t="s">
        <v>1041</v>
      </c>
      <c r="DN9" s="32" t="s">
        <v>1042</v>
      </c>
      <c r="DO9" s="32" t="s">
        <v>1043</v>
      </c>
      <c r="DP9" s="32" t="s">
        <v>1044</v>
      </c>
      <c r="DQ9" s="32" t="s">
        <v>1045</v>
      </c>
      <c r="DR9" s="32" t="s">
        <v>1046</v>
      </c>
      <c r="DS9" s="32" t="s">
        <v>1047</v>
      </c>
      <c r="DT9" s="32" t="s">
        <v>1048</v>
      </c>
      <c r="DU9" s="32" t="s">
        <v>1049</v>
      </c>
      <c r="DV9" s="32" t="s">
        <v>1050</v>
      </c>
      <c r="DW9" s="32" t="s">
        <v>1051</v>
      </c>
      <c r="DX9" s="32" t="s">
        <v>1052</v>
      </c>
      <c r="DY9" s="32" t="s">
        <v>1053</v>
      </c>
      <c r="DZ9" s="32" t="s">
        <v>1054</v>
      </c>
      <c r="EA9" s="32" t="s">
        <v>1055</v>
      </c>
      <c r="EB9" s="32" t="s">
        <v>1056</v>
      </c>
      <c r="EC9" s="32" t="s">
        <v>1057</v>
      </c>
      <c r="ED9" s="32" t="s">
        <v>1058</v>
      </c>
      <c r="EE9" s="32" t="s">
        <v>1059</v>
      </c>
      <c r="EF9" s="32" t="s">
        <v>1060</v>
      </c>
      <c r="EG9" s="32" t="s">
        <v>1061</v>
      </c>
      <c r="EH9" s="32" t="s">
        <v>1062</v>
      </c>
      <c r="EI9" s="32" t="s">
        <v>1063</v>
      </c>
      <c r="EJ9" s="32" t="s">
        <v>1064</v>
      </c>
      <c r="EK9" s="32" t="s">
        <v>1065</v>
      </c>
      <c r="EL9" s="32" t="s">
        <v>1066</v>
      </c>
      <c r="EM9" s="32" t="s">
        <v>1067</v>
      </c>
      <c r="EN9" s="32" t="s">
        <v>1068</v>
      </c>
      <c r="EO9" s="32" t="s">
        <v>1069</v>
      </c>
      <c r="EP9" s="32" t="s">
        <v>1070</v>
      </c>
      <c r="EQ9" s="32" t="s">
        <v>1071</v>
      </c>
      <c r="ER9" s="32" t="s">
        <v>1072</v>
      </c>
      <c r="ES9" s="32" t="s">
        <v>1073</v>
      </c>
      <c r="ET9" s="32" t="s">
        <v>1074</v>
      </c>
      <c r="EU9" s="32" t="s">
        <v>1075</v>
      </c>
      <c r="EV9" s="32" t="s">
        <v>1076</v>
      </c>
      <c r="EW9" s="32" t="s">
        <v>1077</v>
      </c>
      <c r="EX9" s="32" t="s">
        <v>1078</v>
      </c>
      <c r="EY9" s="32" t="s">
        <v>1079</v>
      </c>
      <c r="EZ9" s="32" t="s">
        <v>1080</v>
      </c>
      <c r="FA9" s="32" t="s">
        <v>1081</v>
      </c>
      <c r="FB9" s="32" t="s">
        <v>1082</v>
      </c>
      <c r="FC9" s="32" t="s">
        <v>1083</v>
      </c>
      <c r="FD9" s="32" t="s">
        <v>1084</v>
      </c>
      <c r="FE9" s="32" t="s">
        <v>1085</v>
      </c>
      <c r="FF9" s="32" t="s">
        <v>1086</v>
      </c>
      <c r="FG9" s="32" t="s">
        <v>1087</v>
      </c>
      <c r="FH9" s="32" t="s">
        <v>1088</v>
      </c>
      <c r="FI9" s="32" t="s">
        <v>1089</v>
      </c>
      <c r="FJ9" s="32" t="s">
        <v>1090</v>
      </c>
      <c r="FK9" s="32" t="s">
        <v>1091</v>
      </c>
      <c r="FL9" s="32" t="s">
        <v>1092</v>
      </c>
      <c r="FM9" s="32" t="s">
        <v>1093</v>
      </c>
      <c r="FN9" s="32" t="s">
        <v>1094</v>
      </c>
      <c r="FO9" s="32" t="s">
        <v>1095</v>
      </c>
      <c r="FP9" s="32" t="s">
        <v>1096</v>
      </c>
      <c r="FQ9" s="32" t="s">
        <v>1097</v>
      </c>
      <c r="FR9" s="32" t="s">
        <v>1098</v>
      </c>
      <c r="FS9" s="32" t="s">
        <v>1099</v>
      </c>
      <c r="FT9" s="32" t="s">
        <v>1100</v>
      </c>
      <c r="FU9" s="32" t="s">
        <v>1101</v>
      </c>
      <c r="FV9" s="32" t="s">
        <v>1102</v>
      </c>
      <c r="FW9" s="32" t="s">
        <v>1103</v>
      </c>
      <c r="FX9" s="32" t="s">
        <v>1104</v>
      </c>
      <c r="FY9" s="32" t="s">
        <v>1105</v>
      </c>
      <c r="FZ9" s="32" t="s">
        <v>1106</v>
      </c>
      <c r="GA9" s="32" t="s">
        <v>1107</v>
      </c>
      <c r="GB9" s="32" t="s">
        <v>1108</v>
      </c>
      <c r="GC9" s="32" t="s">
        <v>1109</v>
      </c>
      <c r="GD9" s="32" t="s">
        <v>1110</v>
      </c>
      <c r="GE9" s="32" t="s">
        <v>1111</v>
      </c>
      <c r="GF9" s="32" t="s">
        <v>1112</v>
      </c>
      <c r="GG9" s="32" t="s">
        <v>1113</v>
      </c>
      <c r="GH9" s="32" t="s">
        <v>1114</v>
      </c>
      <c r="GI9" s="32" t="s">
        <v>1115</v>
      </c>
      <c r="GJ9" s="32" t="s">
        <v>1116</v>
      </c>
      <c r="GK9" s="32" t="s">
        <v>1117</v>
      </c>
      <c r="GL9" s="32" t="s">
        <v>1118</v>
      </c>
      <c r="GM9" s="32" t="s">
        <v>1119</v>
      </c>
      <c r="GN9" s="32" t="s">
        <v>1120</v>
      </c>
      <c r="GO9" s="32" t="s">
        <v>1121</v>
      </c>
      <c r="GP9" s="32" t="s">
        <v>1122</v>
      </c>
      <c r="GQ9" s="32" t="s">
        <v>1123</v>
      </c>
      <c r="GR9" s="32" t="s">
        <v>1124</v>
      </c>
      <c r="GS9" s="32" t="s">
        <v>1125</v>
      </c>
      <c r="GT9" s="32" t="s">
        <v>1126</v>
      </c>
      <c r="GU9" s="32" t="s">
        <v>1127</v>
      </c>
      <c r="GV9" s="32" t="s">
        <v>1128</v>
      </c>
      <c r="GW9" s="32" t="s">
        <v>1129</v>
      </c>
      <c r="GX9" s="32" t="s">
        <v>1130</v>
      </c>
      <c r="GY9" s="32" t="s">
        <v>1131</v>
      </c>
      <c r="GZ9" s="32" t="s">
        <v>1132</v>
      </c>
      <c r="HA9" s="32" t="s">
        <v>1133</v>
      </c>
      <c r="HB9" s="32" t="s">
        <v>1134</v>
      </c>
      <c r="HC9" s="32" t="s">
        <v>1135</v>
      </c>
      <c r="HD9" s="32" t="s">
        <v>1136</v>
      </c>
      <c r="HE9" s="32" t="s">
        <v>1137</v>
      </c>
      <c r="HF9" s="32" t="s">
        <v>1138</v>
      </c>
      <c r="HG9" s="32" t="s">
        <v>1139</v>
      </c>
      <c r="HH9" s="32" t="s">
        <v>1140</v>
      </c>
      <c r="HI9" s="32" t="s">
        <v>1141</v>
      </c>
      <c r="HJ9" s="32" t="s">
        <v>1142</v>
      </c>
      <c r="HK9" s="32" t="s">
        <v>1143</v>
      </c>
      <c r="HL9" s="32" t="s">
        <v>1144</v>
      </c>
      <c r="HM9" s="32" t="s">
        <v>1145</v>
      </c>
      <c r="HN9" s="32" t="s">
        <v>1146</v>
      </c>
      <c r="HO9" s="32" t="s">
        <v>1147</v>
      </c>
      <c r="HP9" s="32" t="s">
        <v>1148</v>
      </c>
      <c r="HQ9" s="32" t="s">
        <v>1149</v>
      </c>
      <c r="HR9" s="32" t="s">
        <v>1150</v>
      </c>
      <c r="HS9" s="32" t="s">
        <v>1151</v>
      </c>
      <c r="HT9" s="32" t="s">
        <v>1152</v>
      </c>
      <c r="HU9" s="32" t="s">
        <v>1153</v>
      </c>
      <c r="HV9" s="32" t="s">
        <v>1154</v>
      </c>
      <c r="HW9" s="32" t="s">
        <v>1155</v>
      </c>
      <c r="HX9" s="32" t="s">
        <v>1156</v>
      </c>
      <c r="HY9" s="32" t="s">
        <v>1157</v>
      </c>
      <c r="HZ9" s="32" t="s">
        <v>1158</v>
      </c>
      <c r="IA9" s="32" t="s">
        <v>1159</v>
      </c>
      <c r="IB9" s="32" t="s">
        <v>1160</v>
      </c>
      <c r="IC9" s="32" t="s">
        <v>1161</v>
      </c>
      <c r="ID9" s="32" t="s">
        <v>1162</v>
      </c>
      <c r="IE9" s="32" t="s">
        <v>1163</v>
      </c>
      <c r="IF9" s="32" t="s">
        <v>1164</v>
      </c>
      <c r="IG9" s="32" t="s">
        <v>1165</v>
      </c>
      <c r="IH9" s="32" t="s">
        <v>1166</v>
      </c>
      <c r="II9" s="32" t="s">
        <v>1167</v>
      </c>
      <c r="IJ9" s="32" t="s">
        <v>1168</v>
      </c>
      <c r="IK9" s="32" t="s">
        <v>1169</v>
      </c>
      <c r="IL9" s="32" t="s">
        <v>1170</v>
      </c>
      <c r="IM9" s="32" t="s">
        <v>1171</v>
      </c>
      <c r="IN9" s="32" t="s">
        <v>1172</v>
      </c>
      <c r="IO9" s="32" t="s">
        <v>1173</v>
      </c>
      <c r="IP9" s="32" t="s">
        <v>1174</v>
      </c>
      <c r="IQ9" s="32" t="s">
        <v>1175</v>
      </c>
      <c r="IR9" s="32" t="s">
        <v>1176</v>
      </c>
      <c r="IS9" s="32" t="s">
        <v>1177</v>
      </c>
      <c r="IT9" s="32" t="s">
        <v>1178</v>
      </c>
      <c r="IU9" s="32" t="s">
        <v>1179</v>
      </c>
      <c r="IV9" s="32" t="s">
        <v>1180</v>
      </c>
      <c r="IW9" s="32" t="s">
        <v>1181</v>
      </c>
      <c r="IX9" s="32" t="s">
        <v>1182</v>
      </c>
      <c r="IY9" s="32" t="s">
        <v>1183</v>
      </c>
      <c r="IZ9" s="32" t="s">
        <v>1184</v>
      </c>
      <c r="JA9" s="32" t="s">
        <v>1185</v>
      </c>
      <c r="JB9" s="32" t="s">
        <v>1186</v>
      </c>
      <c r="JC9" s="32" t="s">
        <v>1187</v>
      </c>
      <c r="JD9" s="32" t="s">
        <v>1188</v>
      </c>
      <c r="JE9" s="32" t="s">
        <v>1189</v>
      </c>
      <c r="JF9" s="32" t="s">
        <v>1190</v>
      </c>
      <c r="JG9" s="32" t="s">
        <v>1191</v>
      </c>
      <c r="JH9" s="32" t="s">
        <v>1192</v>
      </c>
      <c r="JI9" s="32" t="s">
        <v>1193</v>
      </c>
      <c r="JJ9" s="32" t="s">
        <v>1194</v>
      </c>
      <c r="JK9" s="32" t="s">
        <v>1195</v>
      </c>
      <c r="JL9" s="32" t="s">
        <v>1196</v>
      </c>
      <c r="JM9" s="32" t="s">
        <v>1197</v>
      </c>
      <c r="JN9" s="32" t="s">
        <v>1198</v>
      </c>
      <c r="JO9" s="32" t="s">
        <v>1199</v>
      </c>
      <c r="JP9" s="32" t="s">
        <v>1200</v>
      </c>
      <c r="JQ9" s="32" t="s">
        <v>1201</v>
      </c>
      <c r="JR9" s="32" t="s">
        <v>1202</v>
      </c>
      <c r="JS9" s="32" t="s">
        <v>1203</v>
      </c>
      <c r="JT9" s="32" t="s">
        <v>1204</v>
      </c>
      <c r="JU9" s="32" t="s">
        <v>1205</v>
      </c>
      <c r="JV9" s="32" t="s">
        <v>1206</v>
      </c>
      <c r="JW9" s="32" t="s">
        <v>1207</v>
      </c>
      <c r="JX9" s="32" t="s">
        <v>1208</v>
      </c>
      <c r="JY9" s="32" t="s">
        <v>1209</v>
      </c>
      <c r="JZ9" s="32" t="s">
        <v>1210</v>
      </c>
      <c r="KA9" s="32" t="s">
        <v>1211</v>
      </c>
      <c r="KB9" s="32" t="s">
        <v>1212</v>
      </c>
      <c r="KC9" s="32" t="s">
        <v>1213</v>
      </c>
      <c r="KD9" s="32" t="s">
        <v>1214</v>
      </c>
      <c r="KE9" s="32" t="s">
        <v>1215</v>
      </c>
      <c r="KF9" s="32" t="s">
        <v>1216</v>
      </c>
      <c r="KG9" s="32" t="s">
        <v>1217</v>
      </c>
      <c r="KH9" s="32" t="s">
        <v>1218</v>
      </c>
      <c r="KI9" s="32" t="s">
        <v>1219</v>
      </c>
      <c r="KJ9" s="32" t="s">
        <v>1220</v>
      </c>
      <c r="KK9" s="32" t="s">
        <v>1221</v>
      </c>
      <c r="KL9" s="32" t="s">
        <v>1222</v>
      </c>
      <c r="KM9" s="32" t="s">
        <v>1223</v>
      </c>
      <c r="KN9" s="32" t="s">
        <v>1224</v>
      </c>
      <c r="KO9" s="32" t="s">
        <v>1225</v>
      </c>
      <c r="KP9" s="32" t="s">
        <v>1226</v>
      </c>
      <c r="KQ9" s="32" t="s">
        <v>1227</v>
      </c>
      <c r="KR9" s="32" t="s">
        <v>1228</v>
      </c>
      <c r="KS9" s="32" t="s">
        <v>1229</v>
      </c>
      <c r="KT9" s="32" t="s">
        <v>1230</v>
      </c>
      <c r="KU9" s="32" t="s">
        <v>1231</v>
      </c>
      <c r="KV9" s="32" t="s">
        <v>1232</v>
      </c>
      <c r="KW9" s="32" t="s">
        <v>1233</v>
      </c>
      <c r="KX9" s="32" t="s">
        <v>1234</v>
      </c>
      <c r="KY9" s="32" t="s">
        <v>1235</v>
      </c>
      <c r="KZ9" s="32" t="s">
        <v>1236</v>
      </c>
      <c r="LA9" s="32" t="s">
        <v>1237</v>
      </c>
      <c r="LB9" s="32" t="s">
        <v>1238</v>
      </c>
      <c r="LC9" s="32" t="s">
        <v>1239</v>
      </c>
      <c r="LD9" s="32" t="s">
        <v>1240</v>
      </c>
      <c r="LE9" s="32" t="s">
        <v>1241</v>
      </c>
      <c r="LF9" s="32" t="s">
        <v>1242</v>
      </c>
      <c r="LG9" s="32" t="s">
        <v>1243</v>
      </c>
      <c r="LH9" s="32" t="s">
        <v>1244</v>
      </c>
      <c r="LI9" s="32" t="s">
        <v>1245</v>
      </c>
      <c r="LJ9" s="32" t="s">
        <v>1246</v>
      </c>
      <c r="LK9" s="32" t="s">
        <v>1247</v>
      </c>
      <c r="LL9" s="32" t="s">
        <v>1248</v>
      </c>
      <c r="LM9" s="32" t="s">
        <v>1249</v>
      </c>
      <c r="LN9" s="32" t="s">
        <v>1250</v>
      </c>
      <c r="LO9" s="32" t="s">
        <v>1251</v>
      </c>
      <c r="LP9" s="32" t="s">
        <v>1252</v>
      </c>
      <c r="LQ9" s="32" t="s">
        <v>1253</v>
      </c>
      <c r="LR9" s="32" t="s">
        <v>1254</v>
      </c>
      <c r="LS9" s="32" t="s">
        <v>1255</v>
      </c>
      <c r="LT9" s="32" t="s">
        <v>1256</v>
      </c>
      <c r="LU9" s="32" t="s">
        <v>562</v>
      </c>
      <c r="LV9" s="32" t="s">
        <v>563</v>
      </c>
      <c r="LW9" s="32" t="s">
        <v>564</v>
      </c>
      <c r="LX9" s="32" t="s">
        <v>565</v>
      </c>
      <c r="LY9" s="32" t="s">
        <v>235</v>
      </c>
      <c r="LZ9" s="32" t="s">
        <v>236</v>
      </c>
      <c r="MA9" s="32" t="s">
        <v>566</v>
      </c>
      <c r="MB9" s="32" t="s">
        <v>567</v>
      </c>
      <c r="MC9" s="32" t="s">
        <v>239</v>
      </c>
      <c r="MD9" s="32" t="s">
        <v>240</v>
      </c>
      <c r="ME9" s="32" t="s">
        <v>568</v>
      </c>
      <c r="MF9" s="32" t="s">
        <v>569</v>
      </c>
      <c r="MG9" s="32" t="s">
        <v>1257</v>
      </c>
      <c r="MH9" s="32" t="s">
        <v>1258</v>
      </c>
      <c r="MI9" s="32" t="s">
        <v>1259</v>
      </c>
      <c r="MJ9" s="32" t="s">
        <v>1260</v>
      </c>
    </row>
    <row r="10" spans="1:349" s="19" customFormat="1" x14ac:dyDescent="0.3">
      <c r="A10"/>
      <c r="B10"/>
      <c r="C10" s="4">
        <v>342613</v>
      </c>
      <c r="D10" s="42" t="s">
        <v>183</v>
      </c>
      <c r="E10" s="43" t="s">
        <v>1264</v>
      </c>
      <c r="F10" s="43" t="s">
        <v>1261</v>
      </c>
      <c r="G10" s="43" t="s">
        <v>1265</v>
      </c>
      <c r="H10" s="44" t="s">
        <v>1263</v>
      </c>
      <c r="I10" s="45">
        <v>342613</v>
      </c>
      <c r="J10" s="45">
        <v>0</v>
      </c>
      <c r="K10" s="45">
        <v>0</v>
      </c>
      <c r="L10" s="46">
        <v>0</v>
      </c>
      <c r="M10" s="46">
        <v>342613</v>
      </c>
      <c r="N10" s="47">
        <v>0</v>
      </c>
      <c r="O10" s="47">
        <v>0</v>
      </c>
      <c r="P10" s="4">
        <v>0</v>
      </c>
      <c r="Q10" s="4">
        <v>342613</v>
      </c>
      <c r="R10" s="4">
        <v>0</v>
      </c>
      <c r="S10" s="4">
        <v>0</v>
      </c>
      <c r="T10" s="4">
        <v>0</v>
      </c>
      <c r="U10" s="4">
        <v>342613</v>
      </c>
      <c r="V10" s="4">
        <v>0</v>
      </c>
      <c r="W10" s="4">
        <v>0</v>
      </c>
      <c r="X10" s="4">
        <v>0</v>
      </c>
      <c r="Y10" s="4">
        <v>342613</v>
      </c>
      <c r="Z10" s="4">
        <v>0</v>
      </c>
      <c r="AA10" s="4">
        <v>0</v>
      </c>
      <c r="AB10" s="4">
        <v>0</v>
      </c>
      <c r="AC10" s="4">
        <v>342613</v>
      </c>
      <c r="AD10" s="4">
        <v>0</v>
      </c>
      <c r="AE10" s="4">
        <v>0</v>
      </c>
      <c r="AF10" s="4">
        <v>0</v>
      </c>
      <c r="AG10" s="4">
        <v>342613</v>
      </c>
      <c r="AH10" s="4">
        <v>0</v>
      </c>
      <c r="AI10" s="4">
        <v>0</v>
      </c>
      <c r="AJ10" s="4">
        <v>0</v>
      </c>
      <c r="AK10" s="4">
        <v>342613</v>
      </c>
      <c r="AL10" s="4">
        <v>0</v>
      </c>
      <c r="AM10" s="4">
        <v>0</v>
      </c>
      <c r="AN10" s="4">
        <v>0</v>
      </c>
      <c r="AO10" s="4">
        <v>342613</v>
      </c>
      <c r="AP10" s="4">
        <v>0</v>
      </c>
      <c r="AQ10" s="4">
        <v>0</v>
      </c>
      <c r="AR10" s="4">
        <v>0</v>
      </c>
      <c r="AS10" s="4">
        <v>342613</v>
      </c>
      <c r="AT10" s="4">
        <v>0</v>
      </c>
      <c r="AU10" s="4">
        <v>0</v>
      </c>
      <c r="AV10" s="4">
        <v>0</v>
      </c>
      <c r="AW10" s="4">
        <v>342613</v>
      </c>
      <c r="AX10" s="4">
        <v>0</v>
      </c>
      <c r="AY10" s="4">
        <v>0</v>
      </c>
      <c r="AZ10" s="4">
        <v>0</v>
      </c>
      <c r="BA10" s="4">
        <v>342613</v>
      </c>
      <c r="BB10" s="4">
        <v>0</v>
      </c>
      <c r="BC10" s="4">
        <v>0</v>
      </c>
      <c r="BD10" s="4">
        <v>0</v>
      </c>
      <c r="BE10" s="4">
        <v>342613</v>
      </c>
      <c r="BF10" s="4">
        <v>0</v>
      </c>
      <c r="BG10" s="4">
        <v>0</v>
      </c>
      <c r="BH10" s="4">
        <v>0</v>
      </c>
      <c r="BI10" s="4">
        <v>342613</v>
      </c>
      <c r="BJ10" s="4">
        <v>0</v>
      </c>
      <c r="BK10" s="4">
        <v>0</v>
      </c>
      <c r="BL10" s="4">
        <v>0</v>
      </c>
      <c r="BM10" s="4">
        <v>342613</v>
      </c>
      <c r="BN10" s="4">
        <v>0</v>
      </c>
      <c r="BO10" s="4">
        <v>0</v>
      </c>
      <c r="BP10" s="4">
        <v>0</v>
      </c>
      <c r="BQ10" s="4">
        <v>342613</v>
      </c>
      <c r="BR10" s="4">
        <v>0</v>
      </c>
      <c r="BS10" s="4">
        <v>0</v>
      </c>
      <c r="BT10" s="4">
        <v>0</v>
      </c>
      <c r="BU10" s="4">
        <v>342613</v>
      </c>
      <c r="BV10" s="4">
        <v>0</v>
      </c>
      <c r="BW10" s="4">
        <v>0</v>
      </c>
      <c r="BX10" s="4">
        <v>0</v>
      </c>
      <c r="BY10" s="4">
        <v>342613</v>
      </c>
      <c r="BZ10" s="4">
        <v>0</v>
      </c>
      <c r="CA10" s="4">
        <v>0</v>
      </c>
      <c r="CB10" s="4">
        <v>0</v>
      </c>
      <c r="CC10" s="4">
        <v>342613</v>
      </c>
      <c r="CD10" s="4">
        <v>0</v>
      </c>
      <c r="CE10" s="4">
        <v>0</v>
      </c>
      <c r="CF10" s="4">
        <v>0</v>
      </c>
      <c r="CG10" s="4">
        <v>342613</v>
      </c>
      <c r="CH10" s="4">
        <v>0</v>
      </c>
      <c r="CI10" s="4">
        <v>0</v>
      </c>
      <c r="CJ10" s="4">
        <v>0</v>
      </c>
      <c r="CK10" s="4">
        <v>342613</v>
      </c>
      <c r="CL10" s="4">
        <v>0</v>
      </c>
      <c r="CM10" s="4">
        <v>0</v>
      </c>
      <c r="CN10" s="4">
        <v>0</v>
      </c>
      <c r="CO10" s="4">
        <v>342613</v>
      </c>
      <c r="CP10" s="4">
        <v>0</v>
      </c>
      <c r="CQ10" s="4">
        <v>0</v>
      </c>
      <c r="CR10" s="4">
        <v>0</v>
      </c>
      <c r="CS10" s="4">
        <v>342613</v>
      </c>
      <c r="CT10" s="4">
        <v>0</v>
      </c>
      <c r="CU10" s="4">
        <v>0</v>
      </c>
      <c r="CV10" s="4">
        <v>0</v>
      </c>
      <c r="CW10" s="4">
        <v>342613</v>
      </c>
      <c r="CX10" s="4">
        <v>0</v>
      </c>
      <c r="CY10" s="4">
        <v>0</v>
      </c>
      <c r="CZ10" s="4">
        <v>0</v>
      </c>
      <c r="DA10" s="4">
        <v>342613</v>
      </c>
      <c r="DB10" s="4">
        <v>0</v>
      </c>
      <c r="DC10" s="4">
        <v>0</v>
      </c>
      <c r="DD10" s="4">
        <v>0</v>
      </c>
      <c r="DE10" s="4">
        <v>342613</v>
      </c>
      <c r="DF10" s="4">
        <v>0</v>
      </c>
      <c r="DG10" s="4">
        <v>0</v>
      </c>
      <c r="DH10" s="4">
        <v>0</v>
      </c>
      <c r="DI10" s="4">
        <v>342613</v>
      </c>
      <c r="DJ10" s="4">
        <v>0</v>
      </c>
      <c r="DK10" s="4">
        <v>0</v>
      </c>
      <c r="DL10" s="4">
        <v>0</v>
      </c>
      <c r="DM10" s="4">
        <v>342613</v>
      </c>
      <c r="DN10" s="4">
        <v>0</v>
      </c>
      <c r="DO10" s="4">
        <v>0</v>
      </c>
      <c r="DP10" s="4">
        <v>0</v>
      </c>
      <c r="DQ10" s="4">
        <v>342613</v>
      </c>
      <c r="DR10" s="4">
        <v>0</v>
      </c>
      <c r="DS10" s="4">
        <v>0</v>
      </c>
      <c r="DT10" s="4">
        <v>0</v>
      </c>
      <c r="DU10" s="4">
        <v>342613</v>
      </c>
      <c r="DV10" s="4">
        <v>0</v>
      </c>
      <c r="DW10" s="4">
        <v>0</v>
      </c>
      <c r="DX10" s="4">
        <v>0</v>
      </c>
      <c r="DY10" s="4">
        <v>342613</v>
      </c>
      <c r="DZ10" s="4">
        <v>0</v>
      </c>
      <c r="EA10" s="4">
        <v>0</v>
      </c>
      <c r="EB10" s="4">
        <v>0</v>
      </c>
      <c r="EC10" s="4">
        <v>342613</v>
      </c>
      <c r="ED10" s="4">
        <v>0</v>
      </c>
      <c r="EE10" s="4">
        <v>0</v>
      </c>
      <c r="EF10" s="4">
        <v>0</v>
      </c>
      <c r="EG10" s="4">
        <v>342613</v>
      </c>
      <c r="EH10" s="4">
        <v>0</v>
      </c>
      <c r="EI10" s="4">
        <v>0</v>
      </c>
      <c r="EJ10" s="4">
        <v>0</v>
      </c>
      <c r="EK10" s="4">
        <v>342613</v>
      </c>
      <c r="EL10" s="4">
        <v>0</v>
      </c>
      <c r="EM10" s="4">
        <v>0</v>
      </c>
      <c r="EN10" s="4">
        <v>0</v>
      </c>
      <c r="EO10" s="4">
        <v>342613</v>
      </c>
      <c r="EP10" s="4">
        <v>0</v>
      </c>
      <c r="EQ10" s="4">
        <v>0</v>
      </c>
      <c r="ER10" s="4">
        <v>0</v>
      </c>
      <c r="ES10" s="4">
        <v>342613</v>
      </c>
      <c r="ET10" s="4">
        <v>0</v>
      </c>
      <c r="EU10" s="4">
        <v>0</v>
      </c>
      <c r="EV10" s="4">
        <v>0</v>
      </c>
      <c r="EW10" s="4">
        <v>342613</v>
      </c>
      <c r="EX10" s="4">
        <v>0</v>
      </c>
      <c r="EY10" s="4">
        <v>0</v>
      </c>
      <c r="EZ10" s="4">
        <v>0</v>
      </c>
      <c r="FA10" s="4">
        <v>342613</v>
      </c>
      <c r="FB10" s="4">
        <v>0</v>
      </c>
      <c r="FC10" s="4">
        <v>0</v>
      </c>
      <c r="FD10" s="4">
        <v>0</v>
      </c>
      <c r="FE10" s="4">
        <v>342613</v>
      </c>
      <c r="FF10" s="4">
        <v>0</v>
      </c>
      <c r="FG10" s="4">
        <v>0</v>
      </c>
      <c r="FH10" s="4">
        <v>0</v>
      </c>
      <c r="FI10" s="4">
        <v>342613</v>
      </c>
      <c r="FJ10" s="4">
        <v>0</v>
      </c>
      <c r="FK10" s="4">
        <v>0</v>
      </c>
      <c r="FL10" s="4">
        <v>0</v>
      </c>
      <c r="FM10" s="4">
        <v>342613</v>
      </c>
      <c r="FN10" s="4">
        <v>0</v>
      </c>
      <c r="FO10" s="4">
        <v>0</v>
      </c>
      <c r="FP10" s="4">
        <v>0</v>
      </c>
      <c r="FQ10" s="4">
        <v>342613</v>
      </c>
      <c r="FR10" s="4">
        <v>0</v>
      </c>
      <c r="FS10" s="4">
        <v>0</v>
      </c>
      <c r="FT10" s="4">
        <v>0</v>
      </c>
      <c r="FU10" s="4">
        <v>342613</v>
      </c>
      <c r="FV10" s="4">
        <v>0</v>
      </c>
      <c r="FW10" s="4">
        <v>0</v>
      </c>
      <c r="FX10" s="4">
        <v>0</v>
      </c>
      <c r="FY10" s="4">
        <v>342613</v>
      </c>
      <c r="FZ10" s="4">
        <v>0</v>
      </c>
      <c r="GA10" s="4">
        <v>0</v>
      </c>
      <c r="GB10" s="4">
        <v>0</v>
      </c>
      <c r="GC10" s="4">
        <v>342613</v>
      </c>
      <c r="GD10" s="4">
        <v>0</v>
      </c>
      <c r="GE10" s="4">
        <v>0</v>
      </c>
      <c r="GF10" s="4">
        <v>0</v>
      </c>
      <c r="GG10" s="4">
        <v>342613</v>
      </c>
      <c r="GH10" s="4">
        <v>0</v>
      </c>
      <c r="GI10" s="4">
        <v>0</v>
      </c>
      <c r="GJ10" s="4">
        <v>0</v>
      </c>
      <c r="GK10" s="4">
        <v>342613</v>
      </c>
      <c r="GL10" s="4">
        <v>0</v>
      </c>
      <c r="GM10" s="4">
        <v>0</v>
      </c>
      <c r="GN10" s="4">
        <v>0</v>
      </c>
      <c r="GO10" s="4">
        <v>342613</v>
      </c>
      <c r="GP10" s="4">
        <v>0</v>
      </c>
      <c r="GQ10" s="4">
        <v>0</v>
      </c>
      <c r="GR10" s="4">
        <v>0</v>
      </c>
      <c r="GS10" s="4">
        <v>342613</v>
      </c>
      <c r="GT10" s="4">
        <v>0</v>
      </c>
      <c r="GU10" s="4">
        <v>0</v>
      </c>
      <c r="GV10" s="4">
        <v>0</v>
      </c>
      <c r="GW10" s="4">
        <v>342613</v>
      </c>
      <c r="GX10" s="4">
        <v>0</v>
      </c>
      <c r="GY10" s="4">
        <v>0</v>
      </c>
      <c r="GZ10" s="4">
        <v>0</v>
      </c>
      <c r="HA10" s="4">
        <v>342613</v>
      </c>
      <c r="HB10" s="4">
        <v>0</v>
      </c>
      <c r="HC10" s="4">
        <v>0</v>
      </c>
      <c r="HD10" s="4">
        <v>0</v>
      </c>
      <c r="HE10" s="4">
        <v>342613</v>
      </c>
      <c r="HF10" s="4">
        <v>0</v>
      </c>
      <c r="HG10" s="4">
        <v>0</v>
      </c>
      <c r="HH10" s="4">
        <v>0</v>
      </c>
      <c r="HI10" s="4">
        <v>342613</v>
      </c>
      <c r="HJ10" s="4">
        <v>0</v>
      </c>
      <c r="HK10" s="4">
        <v>0</v>
      </c>
      <c r="HL10" s="4">
        <v>0</v>
      </c>
      <c r="HM10" s="4">
        <v>342613</v>
      </c>
      <c r="HN10" s="4">
        <v>0</v>
      </c>
      <c r="HO10" s="4">
        <v>0</v>
      </c>
      <c r="HP10" s="4">
        <v>0</v>
      </c>
      <c r="HQ10" s="4">
        <v>342613</v>
      </c>
      <c r="HR10" s="4">
        <v>0</v>
      </c>
      <c r="HS10" s="4">
        <v>0</v>
      </c>
      <c r="HT10" s="4">
        <v>0</v>
      </c>
      <c r="HU10" s="4">
        <v>342613</v>
      </c>
      <c r="HV10" s="4">
        <v>0</v>
      </c>
      <c r="HW10" s="4">
        <v>0</v>
      </c>
      <c r="HX10" s="4">
        <v>0</v>
      </c>
      <c r="HY10" s="4">
        <v>342613</v>
      </c>
      <c r="HZ10" s="4">
        <v>0</v>
      </c>
      <c r="IA10" s="4">
        <v>0</v>
      </c>
      <c r="IB10" s="4">
        <v>0</v>
      </c>
      <c r="IC10" s="4">
        <v>342613</v>
      </c>
      <c r="ID10" s="4">
        <v>0</v>
      </c>
      <c r="IE10" s="4">
        <v>0</v>
      </c>
      <c r="IF10" s="4">
        <v>0</v>
      </c>
      <c r="IG10" s="4">
        <v>342613</v>
      </c>
      <c r="IH10" s="4">
        <v>0</v>
      </c>
      <c r="II10" s="4">
        <v>0</v>
      </c>
      <c r="IJ10" s="4">
        <v>0</v>
      </c>
      <c r="IK10" s="4">
        <v>342613</v>
      </c>
      <c r="IL10" s="4">
        <v>0</v>
      </c>
      <c r="IM10" s="4">
        <v>0</v>
      </c>
      <c r="IN10" s="4">
        <v>0</v>
      </c>
      <c r="IO10" s="4">
        <v>342613</v>
      </c>
      <c r="IP10" s="4">
        <v>0</v>
      </c>
      <c r="IQ10" s="4">
        <v>0</v>
      </c>
      <c r="IR10" s="4">
        <v>0</v>
      </c>
      <c r="IS10" s="4">
        <v>342613</v>
      </c>
      <c r="IT10" s="4">
        <v>0</v>
      </c>
      <c r="IU10" s="4">
        <v>0</v>
      </c>
      <c r="IV10" s="4">
        <v>0</v>
      </c>
      <c r="IW10" s="4">
        <v>342613</v>
      </c>
      <c r="IX10" s="4">
        <v>0</v>
      </c>
      <c r="IY10" s="4">
        <v>0</v>
      </c>
      <c r="IZ10" s="4">
        <v>0</v>
      </c>
      <c r="JA10" s="4">
        <v>342613</v>
      </c>
      <c r="JB10" s="4">
        <v>0</v>
      </c>
      <c r="JC10" s="4">
        <v>0</v>
      </c>
      <c r="JD10" s="4">
        <v>0</v>
      </c>
      <c r="JE10" s="4">
        <v>342613</v>
      </c>
      <c r="JF10" s="4">
        <v>0</v>
      </c>
      <c r="JG10" s="4">
        <v>0</v>
      </c>
      <c r="JH10" s="4">
        <v>0</v>
      </c>
      <c r="JI10" s="4">
        <v>342613</v>
      </c>
      <c r="JJ10" s="4">
        <v>0</v>
      </c>
      <c r="JK10" s="4">
        <v>0</v>
      </c>
      <c r="JL10" s="4">
        <v>0</v>
      </c>
      <c r="JM10" s="4">
        <v>342613</v>
      </c>
      <c r="JN10" s="4">
        <v>0</v>
      </c>
      <c r="JO10" s="4">
        <v>0</v>
      </c>
      <c r="JP10" s="4">
        <v>0</v>
      </c>
      <c r="JQ10" s="4">
        <v>342613</v>
      </c>
      <c r="JR10" s="4">
        <v>0</v>
      </c>
      <c r="JS10" s="4">
        <v>0</v>
      </c>
      <c r="JT10" s="4">
        <v>0</v>
      </c>
      <c r="JU10" s="4">
        <v>342613</v>
      </c>
      <c r="JV10" s="4">
        <v>0</v>
      </c>
      <c r="JW10" s="4">
        <v>0</v>
      </c>
      <c r="JX10" s="4">
        <v>0</v>
      </c>
      <c r="JY10" s="4">
        <v>342613</v>
      </c>
      <c r="JZ10" s="4">
        <v>0</v>
      </c>
      <c r="KA10" s="4">
        <v>0</v>
      </c>
      <c r="KB10" s="4">
        <v>0</v>
      </c>
      <c r="KC10" s="4">
        <v>342613</v>
      </c>
      <c r="KD10" s="4">
        <v>0</v>
      </c>
      <c r="KE10" s="4">
        <v>0</v>
      </c>
      <c r="KF10" s="4">
        <v>0</v>
      </c>
      <c r="KG10" s="4">
        <v>342613</v>
      </c>
      <c r="KH10" s="4">
        <v>0</v>
      </c>
      <c r="KI10" s="4">
        <v>0</v>
      </c>
      <c r="KJ10" s="4">
        <v>0</v>
      </c>
      <c r="KK10" s="4">
        <v>342613</v>
      </c>
      <c r="KL10" s="4">
        <v>0</v>
      </c>
      <c r="KM10" s="4">
        <v>0</v>
      </c>
      <c r="KN10" s="4">
        <v>0</v>
      </c>
      <c r="KO10" s="4">
        <v>342613</v>
      </c>
      <c r="KP10" s="4">
        <v>0</v>
      </c>
      <c r="KQ10" s="4">
        <v>0</v>
      </c>
      <c r="KR10" s="4">
        <v>0</v>
      </c>
      <c r="KS10" s="4">
        <v>342613</v>
      </c>
      <c r="KT10" s="4">
        <v>0</v>
      </c>
      <c r="KU10" s="4">
        <v>0</v>
      </c>
      <c r="KV10" s="4">
        <v>0</v>
      </c>
      <c r="KW10" s="4">
        <v>342613</v>
      </c>
      <c r="KX10" s="4">
        <v>0</v>
      </c>
      <c r="KY10" s="4">
        <v>0</v>
      </c>
      <c r="KZ10" s="4">
        <v>0</v>
      </c>
      <c r="LA10" s="4">
        <v>342613</v>
      </c>
      <c r="LB10" s="4">
        <v>0</v>
      </c>
      <c r="LC10" s="4">
        <v>0</v>
      </c>
      <c r="LD10" s="4">
        <v>0</v>
      </c>
      <c r="LE10" s="4">
        <v>342613</v>
      </c>
      <c r="LF10" s="4">
        <v>0</v>
      </c>
      <c r="LG10" s="4">
        <v>0</v>
      </c>
      <c r="LH10" s="4">
        <v>0</v>
      </c>
      <c r="LI10" s="4">
        <v>342613</v>
      </c>
      <c r="LJ10" s="4">
        <v>0</v>
      </c>
      <c r="LK10" s="4">
        <v>0</v>
      </c>
      <c r="LL10" s="4">
        <v>0</v>
      </c>
      <c r="LM10" s="4">
        <v>342613</v>
      </c>
      <c r="LN10" s="4">
        <v>0</v>
      </c>
      <c r="LO10" s="4">
        <v>0</v>
      </c>
      <c r="LP10" s="4">
        <v>0</v>
      </c>
      <c r="LQ10" s="4">
        <v>342613</v>
      </c>
      <c r="LR10" s="4">
        <v>0</v>
      </c>
      <c r="LS10" s="4">
        <v>0</v>
      </c>
      <c r="LT10" s="4">
        <v>0</v>
      </c>
      <c r="LU10" s="4">
        <v>342613</v>
      </c>
      <c r="LV10" s="4">
        <v>0</v>
      </c>
      <c r="LW10" s="4">
        <v>0</v>
      </c>
      <c r="LX10" s="4">
        <v>0</v>
      </c>
      <c r="LY10" s="4">
        <v>0</v>
      </c>
      <c r="LZ10" s="38">
        <v>342613</v>
      </c>
      <c r="MA10" s="4">
        <v>0</v>
      </c>
      <c r="MB10" s="4">
        <v>0</v>
      </c>
      <c r="MC10" s="4">
        <v>0</v>
      </c>
      <c r="MD10" s="38">
        <v>342613</v>
      </c>
      <c r="ME10" s="4">
        <v>0</v>
      </c>
      <c r="MF10" s="4">
        <v>0</v>
      </c>
      <c r="MG10" s="4">
        <v>342613</v>
      </c>
      <c r="MH10" s="4">
        <v>0</v>
      </c>
      <c r="MI10" s="4">
        <v>0</v>
      </c>
      <c r="MJ10" s="4">
        <v>0</v>
      </c>
    </row>
    <row r="11" spans="1:349" x14ac:dyDescent="0.3">
      <c r="B11" t="s">
        <v>111</v>
      </c>
      <c r="C11" s="4"/>
      <c r="D11" s="4"/>
      <c r="E11" s="4"/>
      <c r="F11" s="4"/>
      <c r="G11" s="28"/>
      <c r="H11" s="28"/>
      <c r="I11" s="28">
        <f>($C$7-(J10+K10+L10))/$C$7</f>
        <v>1</v>
      </c>
      <c r="J11" s="4"/>
      <c r="K11" s="28"/>
      <c r="L11" s="28"/>
      <c r="M11" s="28">
        <f>($C$7-(N10+O10+P10))/$C$7</f>
        <v>1</v>
      </c>
      <c r="N11" s="28"/>
      <c r="O11" s="28"/>
      <c r="P11" s="28"/>
      <c r="Q11" s="28">
        <f>($C$7-(R10+S10+T10))/$C$7</f>
        <v>1</v>
      </c>
      <c r="R11" s="28"/>
      <c r="S11" s="28"/>
      <c r="T11" s="28"/>
      <c r="U11" s="28">
        <f>($C$7-(V10+W10+X10))/$C$7</f>
        <v>1</v>
      </c>
      <c r="V11" s="28"/>
      <c r="W11" s="28"/>
      <c r="X11" s="28"/>
      <c r="Y11" s="28">
        <f>($C$7-(Z10+AA10+AB10))/$C$7</f>
        <v>1</v>
      </c>
      <c r="Z11" s="28"/>
      <c r="AA11" s="28"/>
      <c r="AB11" s="28"/>
      <c r="AC11" s="28">
        <f>($C$7-(AD10+AE10+AF10))/$C$7</f>
        <v>1</v>
      </c>
      <c r="AD11" s="28"/>
      <c r="AE11" s="28"/>
      <c r="AF11" s="28"/>
      <c r="AG11" s="28">
        <f>($C$7-(AH10+AI10+AJ10))/$C$7</f>
        <v>1</v>
      </c>
      <c r="AH11" s="28"/>
      <c r="AI11" s="28"/>
      <c r="AJ11" s="28"/>
      <c r="AK11" s="28">
        <f>($C$7-(AL10+AM10+AN10))/$C$7</f>
        <v>1</v>
      </c>
      <c r="AL11" s="28"/>
      <c r="AM11" s="28"/>
      <c r="AN11" s="28"/>
      <c r="AO11" s="28">
        <f>($C$7-(AP10+AQ10+AR10))/$C$7</f>
        <v>1</v>
      </c>
      <c r="AP11" s="28"/>
      <c r="AQ11" s="28"/>
      <c r="AR11" s="28"/>
      <c r="AS11" s="28">
        <f>($C$7-(AT10+AU10+AV10))/$C$7</f>
        <v>1</v>
      </c>
      <c r="AT11" s="28"/>
      <c r="AU11" s="28"/>
      <c r="AV11" s="28"/>
      <c r="AW11" s="28">
        <f>($C$7-(AX10+AY10+AZ10))/$C$7</f>
        <v>1</v>
      </c>
      <c r="AX11" s="28"/>
      <c r="AY11" s="28"/>
      <c r="AZ11" s="28"/>
      <c r="BA11" s="28">
        <f>($C$7-(BB10+BC10+BD10))/$C$7</f>
        <v>1</v>
      </c>
      <c r="BB11" s="28"/>
      <c r="BC11" s="28"/>
      <c r="BD11" s="28"/>
      <c r="BE11" s="28">
        <f>($C$7-(BF10+BG10+BH10))/$C$7</f>
        <v>1</v>
      </c>
      <c r="BF11" s="28"/>
      <c r="BG11" s="28"/>
      <c r="BH11" s="28"/>
      <c r="BI11" s="28">
        <f>($C$7-(BJ10+BK10+BL10))/$C$7</f>
        <v>1</v>
      </c>
      <c r="BJ11" s="28"/>
      <c r="BK11" s="28"/>
      <c r="BL11" s="28"/>
      <c r="BM11" s="28">
        <f>($C$7-(BN10+BO10+BP10))/$C$7</f>
        <v>1</v>
      </c>
      <c r="BN11" s="4"/>
      <c r="BO11" s="4"/>
      <c r="BP11" s="4"/>
      <c r="BQ11" s="28">
        <f>($C$7-(BR10+BS10+BT10))/$C$7</f>
        <v>1</v>
      </c>
      <c r="BR11" s="4"/>
      <c r="BS11" s="4"/>
      <c r="BT11" s="4"/>
      <c r="BU11" s="28">
        <f>($C$7-(BV10+BW10+BX10))/$C$7</f>
        <v>1</v>
      </c>
      <c r="BV11" s="4"/>
      <c r="BW11" s="4"/>
      <c r="BX11" s="4"/>
      <c r="BY11" s="28">
        <f>($C$7-(BZ10+CA10+CB10))/$C$7</f>
        <v>1</v>
      </c>
      <c r="BZ11" s="4"/>
      <c r="CA11" s="4"/>
      <c r="CB11" s="4"/>
      <c r="CC11" s="28">
        <f>($C$7-(CD10+CE10+CF10))/$C$7</f>
        <v>1</v>
      </c>
      <c r="CD11" s="4"/>
      <c r="CE11" s="4"/>
      <c r="CF11" s="4"/>
      <c r="CG11" s="28">
        <f>($C$7-(CH10+CI10+CJ10))/$C$7</f>
        <v>1</v>
      </c>
      <c r="CH11" s="4"/>
      <c r="CI11" s="4"/>
      <c r="CJ11" s="4"/>
      <c r="CK11" s="28">
        <f>($C$7-(CL10+CM10+CN10))/$C$7</f>
        <v>1</v>
      </c>
      <c r="CL11" s="4"/>
      <c r="CM11" s="4"/>
      <c r="CN11" s="4"/>
      <c r="CO11" s="28">
        <f>($C$7-(CP10+CQ10+CR10))/$C$7</f>
        <v>1</v>
      </c>
      <c r="CP11" s="4"/>
      <c r="CQ11" s="4"/>
      <c r="CR11" s="4"/>
      <c r="CS11" s="28">
        <f>($C$7-(CT10+CU10+CV10))/$C$7</f>
        <v>1</v>
      </c>
      <c r="CT11" s="4"/>
      <c r="CU11" s="4"/>
      <c r="CV11" s="4"/>
      <c r="CW11" s="28">
        <f>($C$7-(CX10+CY10+CZ10))/$C$7</f>
        <v>1</v>
      </c>
      <c r="CX11" s="4"/>
      <c r="CY11" s="4"/>
      <c r="CZ11" s="4"/>
      <c r="DA11" s="28">
        <f>($C$7-(DB10+DC10+DD10))/$C$7</f>
        <v>1</v>
      </c>
      <c r="DB11" s="4"/>
      <c r="DC11" s="4"/>
      <c r="DD11" s="4"/>
      <c r="DE11" s="28">
        <f>($C$7-(DF10+DG10+DH10))/$C$7</f>
        <v>1</v>
      </c>
      <c r="DF11" s="4"/>
      <c r="DG11" s="4"/>
      <c r="DH11" s="4"/>
      <c r="DI11" s="28">
        <f>($C$7-(DJ10+DK10+DL10))/$C$7</f>
        <v>1</v>
      </c>
      <c r="DJ11" s="4"/>
      <c r="DK11" s="4"/>
      <c r="DL11" s="4"/>
      <c r="DM11" s="28">
        <f>($C$7-(DN10+DO10+DP10))/$C$7</f>
        <v>1</v>
      </c>
      <c r="DN11" s="4"/>
      <c r="DO11" s="4"/>
      <c r="DP11" s="4"/>
      <c r="DQ11" s="28">
        <f>($C$7-(DR10+DS10+DT10))/$C$7</f>
        <v>1</v>
      </c>
      <c r="DR11" s="4"/>
      <c r="DS11" s="4"/>
      <c r="DT11" s="4"/>
      <c r="DU11" s="28">
        <f>($C$7-(DV10+DW10+DX10))/$C$7</f>
        <v>1</v>
      </c>
      <c r="DV11" s="4"/>
      <c r="DW11" s="4"/>
      <c r="DX11" s="4"/>
      <c r="DY11" s="28">
        <f>($C$7-(DZ10+EA10+EB10))/$C$7</f>
        <v>1</v>
      </c>
      <c r="DZ11" s="4"/>
      <c r="EA11" s="4"/>
      <c r="EB11" s="4"/>
      <c r="EC11" s="28">
        <f>($C$7-(ED10+EE10+EF10))/$C$7</f>
        <v>1</v>
      </c>
      <c r="ED11" s="4"/>
      <c r="EE11" s="4"/>
      <c r="EF11" s="4"/>
      <c r="EG11" s="28">
        <f>($C$7-(EH10+EI10+EJ10))/$C$7</f>
        <v>1</v>
      </c>
      <c r="EH11" s="4"/>
      <c r="EI11" s="4"/>
      <c r="EJ11" s="4"/>
      <c r="EK11" s="28">
        <f>($C$7-(EL10+EM10+EN10))/$C$7</f>
        <v>1</v>
      </c>
      <c r="EL11" s="4"/>
      <c r="EM11" s="4"/>
      <c r="EN11" s="4"/>
      <c r="EO11" s="28">
        <f>($C$7-(EP10+EQ10+ER10))/$C$7</f>
        <v>1</v>
      </c>
      <c r="EP11" s="4"/>
      <c r="EQ11" s="4"/>
      <c r="ER11" s="4"/>
      <c r="ES11" s="28">
        <f>($C$7-(ET10+EU10+EV10))/$C$7</f>
        <v>1</v>
      </c>
      <c r="ET11" s="4"/>
      <c r="EU11" s="4"/>
      <c r="EV11" s="4"/>
      <c r="EW11" s="28">
        <f>($C$7-(EX10+EY10+EZ10))/$C$7</f>
        <v>1</v>
      </c>
      <c r="EX11" s="4"/>
      <c r="EY11" s="4"/>
      <c r="EZ11" s="4"/>
      <c r="FA11" s="28">
        <f>($C$7-(FB10+FC10+FD10))/$C$7</f>
        <v>1</v>
      </c>
      <c r="FB11" s="4"/>
      <c r="FC11" s="4"/>
      <c r="FD11" s="4"/>
      <c r="FE11" s="28">
        <f>($C$7-(FF10+FG10+FH10))/$C$7</f>
        <v>1</v>
      </c>
      <c r="FF11" s="4"/>
      <c r="FG11" s="4"/>
      <c r="FH11" s="4"/>
      <c r="FI11" s="28">
        <f>($C$7-(FJ10+FK10+FL10))/$C$7</f>
        <v>1</v>
      </c>
      <c r="FJ11" s="4"/>
      <c r="FK11" s="4"/>
      <c r="FL11" s="4"/>
      <c r="FM11" s="28">
        <f>($C$7-(FN10+FO10+FP10))/$C$7</f>
        <v>1</v>
      </c>
      <c r="FN11" s="4"/>
      <c r="FO11" s="4"/>
      <c r="FP11" s="4"/>
      <c r="FQ11" s="28">
        <f>($C$7-(FR10+FS10+FT10))/$C$7</f>
        <v>1</v>
      </c>
      <c r="FR11" s="4"/>
      <c r="FS11" s="4"/>
      <c r="FT11" s="4"/>
      <c r="FU11" s="28">
        <f>($C$7-(FV10+FW10+FX10))/$C$7</f>
        <v>1</v>
      </c>
      <c r="FV11" s="4"/>
      <c r="FW11" s="4"/>
      <c r="FX11" s="4"/>
      <c r="FY11" s="28">
        <f>($C$7-(FZ10+GA10+GB10))/$C$7</f>
        <v>1</v>
      </c>
      <c r="FZ11" s="4"/>
      <c r="GA11" s="4"/>
      <c r="GB11" s="4"/>
      <c r="GC11" s="28">
        <f>($C$7-(GD10+GE10+GF10))/$C$7</f>
        <v>1</v>
      </c>
      <c r="GD11" s="4"/>
      <c r="GE11" s="4"/>
      <c r="GF11" s="4"/>
      <c r="GG11" s="28">
        <f>($C$7-(GH10+GI10+GJ10))/$C$7</f>
        <v>1</v>
      </c>
      <c r="GH11" s="4"/>
      <c r="GI11" s="4"/>
      <c r="GJ11" s="4"/>
      <c r="GK11" s="28">
        <f>($C$7-(GL10+GM10+GN10))/$C$7</f>
        <v>1</v>
      </c>
      <c r="GL11" s="4"/>
      <c r="GM11" s="4"/>
      <c r="GN11" s="4"/>
      <c r="GO11" s="28">
        <f>($C$7-(GP10+GQ10+GR10))/$C$7</f>
        <v>1</v>
      </c>
      <c r="GP11" s="4"/>
      <c r="GQ11" s="4"/>
      <c r="GR11" s="4"/>
      <c r="GS11" s="28">
        <f>($C$7-(GT10+GU10+GV10))/$C$7</f>
        <v>1</v>
      </c>
      <c r="GT11" s="4"/>
      <c r="GU11" s="4"/>
      <c r="GV11" s="4"/>
      <c r="GW11" s="28">
        <f>($C$7-(GX10+GY10+GZ10))/$C$7</f>
        <v>1</v>
      </c>
      <c r="GX11" s="4"/>
      <c r="GY11" s="4"/>
      <c r="GZ11" s="4"/>
      <c r="HA11" s="28">
        <f>($C$7-(HB10+HC10+HD10))/$C$7</f>
        <v>1</v>
      </c>
      <c r="HB11" s="4"/>
      <c r="HC11" s="4"/>
      <c r="HD11" s="4"/>
      <c r="HE11" s="28">
        <f>($C$7-(HF10+HG10+HH10))/$C$7</f>
        <v>1</v>
      </c>
      <c r="HF11" s="4"/>
      <c r="HG11" s="4"/>
      <c r="HH11" s="4"/>
      <c r="HI11" s="28">
        <f>($C$7-(HJ10+HK10+HL10))/$C$7</f>
        <v>1</v>
      </c>
      <c r="HJ11" s="4"/>
      <c r="HK11" s="4"/>
      <c r="HL11" s="4"/>
      <c r="HM11" s="28">
        <f>($C$7-(HN10+HO10+HP10))/$C$7</f>
        <v>1</v>
      </c>
      <c r="HN11" s="4"/>
      <c r="HO11" s="4"/>
      <c r="HP11" s="4"/>
      <c r="HQ11" s="28">
        <f>($C$7-(HR10+HS10+HT10))/$C$7</f>
        <v>1</v>
      </c>
      <c r="HR11" s="4"/>
      <c r="HS11" s="4"/>
      <c r="HT11" s="4"/>
      <c r="HU11" s="28">
        <f>($C$7-(HV10+HW10+HX10))/$C$7</f>
        <v>1</v>
      </c>
      <c r="HV11" s="4"/>
      <c r="HW11" s="4"/>
      <c r="HX11" s="4"/>
      <c r="HY11" s="28">
        <f>($C$7-(HZ10+IA10+IB10))/$C$7</f>
        <v>1</v>
      </c>
      <c r="HZ11" s="4"/>
      <c r="IA11" s="4"/>
      <c r="IB11" s="4"/>
      <c r="IC11" s="28">
        <f>($C$7-(ID10+IE10+IF10))/$C$7</f>
        <v>1</v>
      </c>
      <c r="ID11" s="4"/>
      <c r="IE11" s="4"/>
      <c r="IF11" s="4"/>
      <c r="IG11" s="28">
        <f>($C$7-(IH10+II10+IJ10))/$C$7</f>
        <v>1</v>
      </c>
      <c r="IH11" s="4"/>
      <c r="II11" s="4"/>
      <c r="IJ11" s="4"/>
      <c r="IK11" s="28">
        <f>($C$7-(IL10+IM10+IN10))/$C$7</f>
        <v>1</v>
      </c>
      <c r="IL11" s="4"/>
      <c r="IM11" s="4"/>
      <c r="IN11" s="4"/>
      <c r="IO11" s="28">
        <f>($C$7-(IP10+IQ10+IR10))/$C$7</f>
        <v>1</v>
      </c>
      <c r="IP11" s="4"/>
      <c r="IQ11" s="4"/>
      <c r="IR11" s="4"/>
      <c r="IS11" s="28">
        <f>($C$7-(IT10+IU10+IV10))/$C$7</f>
        <v>1</v>
      </c>
      <c r="IT11" s="4"/>
      <c r="IU11" s="4"/>
      <c r="IV11" s="4"/>
      <c r="IW11" s="28">
        <f>($C$7-(IX10+IY10+IZ10))/$C$7</f>
        <v>1</v>
      </c>
      <c r="IX11" s="4"/>
      <c r="IY11" s="4"/>
      <c r="IZ11" s="4"/>
      <c r="JA11" s="28">
        <f>($C$7-(JB10+JC10+JD10))/$C$7</f>
        <v>1</v>
      </c>
      <c r="JB11" s="4"/>
      <c r="JC11" s="4"/>
      <c r="JD11" s="4"/>
      <c r="JE11" s="28">
        <f>($C$7-(JF10+JG10+JH10))/$C$7</f>
        <v>1</v>
      </c>
      <c r="JF11" s="4"/>
      <c r="JG11" s="4"/>
      <c r="JH11" s="4"/>
      <c r="JI11" s="28">
        <f>($C$7-(JJ10+JK10+JL10))/$C$7</f>
        <v>1</v>
      </c>
      <c r="JJ11" s="4"/>
      <c r="JK11" s="4"/>
      <c r="JL11" s="4"/>
      <c r="JM11" s="28">
        <f>($C$7-(JN10+JO10+JP10))/$C$7</f>
        <v>1</v>
      </c>
      <c r="JN11" s="4"/>
      <c r="JO11" s="4"/>
      <c r="JP11" s="4"/>
      <c r="JQ11" s="28">
        <f>($C$7-(JR10+JS10+JT10))/$C$7</f>
        <v>1</v>
      </c>
      <c r="JR11" s="4"/>
      <c r="JS11" s="4"/>
      <c r="JT11" s="4"/>
      <c r="JU11" s="28">
        <f>($C$7-(JV10+JW10+JX10))/$C$7</f>
        <v>1</v>
      </c>
      <c r="JV11" s="4"/>
      <c r="JW11" s="4"/>
      <c r="JX11" s="4"/>
      <c r="JY11" s="28">
        <f>($C$7-(JZ10+KA10+KB10))/$C$7</f>
        <v>1</v>
      </c>
      <c r="JZ11" s="4"/>
      <c r="KA11" s="4"/>
      <c r="KB11" s="4"/>
      <c r="KC11" s="28">
        <f>($C$7-(KD10+KE10+KF10))/$C$7</f>
        <v>1</v>
      </c>
      <c r="KD11" s="4"/>
      <c r="KE11" s="4"/>
      <c r="KF11" s="4"/>
      <c r="KG11" s="28">
        <f>($C$7-(KH10+KI10+KJ10))/$C$7</f>
        <v>1</v>
      </c>
      <c r="KH11" s="4"/>
      <c r="KI11" s="4"/>
      <c r="KJ11" s="4"/>
      <c r="KK11" s="28">
        <f>($C$7-(KL10+KM10+KN10))/$C$7</f>
        <v>1</v>
      </c>
      <c r="KL11" s="4"/>
      <c r="KM11" s="4"/>
      <c r="KN11" s="4"/>
      <c r="KO11" s="28">
        <f>($C$7-(KP10+KQ10+KR10))/$C$7</f>
        <v>1</v>
      </c>
      <c r="KP11" s="4"/>
      <c r="KQ11" s="4"/>
      <c r="KR11" s="4"/>
      <c r="KS11" s="28">
        <f>($C$7-(KT10+KU10+KV10))/$C$7</f>
        <v>1</v>
      </c>
      <c r="KT11" s="4"/>
      <c r="KU11" s="4"/>
      <c r="KV11" s="4"/>
      <c r="KW11" s="28">
        <f>($C$7-(KX10+KY10+KZ10))/$C$7</f>
        <v>1</v>
      </c>
      <c r="KX11" s="4"/>
      <c r="KY11" s="4"/>
      <c r="KZ11" s="4"/>
      <c r="LA11" s="28">
        <f>($C$7-(LB10+LC10+LD10))/$C$7</f>
        <v>1</v>
      </c>
      <c r="LB11" s="4"/>
      <c r="LC11" s="4"/>
      <c r="LD11" s="4"/>
      <c r="LE11" s="28">
        <f>($C$7-(LF10+LG10+LH10))/$C$7</f>
        <v>1</v>
      </c>
      <c r="LF11" s="4"/>
      <c r="LG11" s="4"/>
      <c r="LH11" s="4"/>
      <c r="LI11" s="28">
        <f>($C$7-(LJ10+LK10+LL10))/$C$7</f>
        <v>1</v>
      </c>
      <c r="LJ11" s="4"/>
      <c r="LK11" s="4"/>
      <c r="LL11" s="4"/>
      <c r="LM11" s="28">
        <f>($C$7-(LN10+LO10+LP10))/$C$7</f>
        <v>1</v>
      </c>
      <c r="LN11" s="4"/>
      <c r="LO11" s="4"/>
      <c r="LP11" s="4"/>
      <c r="LQ11" s="28">
        <f>($C$7-(LR10+LS10+LT10))/$C$7</f>
        <v>1</v>
      </c>
      <c r="LR11" s="4"/>
      <c r="LS11" s="4"/>
      <c r="LT11" s="4"/>
      <c r="LU11" s="28">
        <f>($C$7-(LV10+LW10+LX10))/$C$7</f>
        <v>1</v>
      </c>
      <c r="LV11" s="4"/>
      <c r="LW11" s="4"/>
      <c r="LX11" s="4"/>
      <c r="LY11" s="28">
        <f>($C$7-(LZ10+MA10+MB10))/$C$7</f>
        <v>0</v>
      </c>
      <c r="LZ11" s="4"/>
      <c r="MA11" s="4"/>
      <c r="MB11" s="4"/>
      <c r="MC11" s="28">
        <f>($C$7-(MD10+ME10+MF10))/$C$7</f>
        <v>0</v>
      </c>
      <c r="MD11" s="4"/>
      <c r="ME11" s="4"/>
      <c r="MF11" s="4"/>
      <c r="MG11" s="28">
        <f>($C$7-(MH10+MI10+MJ10))/$C$7</f>
        <v>1</v>
      </c>
      <c r="MH11" s="40"/>
      <c r="MI11" s="4"/>
      <c r="MJ11" s="4"/>
    </row>
    <row r="12" spans="1:349" x14ac:dyDescent="0.3">
      <c r="C12" s="3" t="s">
        <v>113</v>
      </c>
      <c r="D12" s="3"/>
      <c r="E12" s="3"/>
      <c r="F12" s="3"/>
      <c r="G12" s="3"/>
      <c r="H12" s="3"/>
      <c r="I12" s="3"/>
      <c r="J12" s="3"/>
      <c r="K12" s="3"/>
      <c r="L12" s="3"/>
      <c r="M12" s="3"/>
      <c r="N12" s="3"/>
      <c r="O12" s="3"/>
      <c r="P12" s="3"/>
    </row>
    <row r="14" spans="1:349" x14ac:dyDescent="0.3">
      <c r="C14" s="20" t="s">
        <v>114</v>
      </c>
    </row>
    <row r="15" spans="1:349" ht="14.4" customHeight="1" x14ac:dyDescent="0.3"/>
    <row r="16" spans="1:349" x14ac:dyDescent="0.3">
      <c r="C16" s="21" t="s">
        <v>116</v>
      </c>
    </row>
    <row r="17" spans="3:16" ht="14.4" customHeight="1" x14ac:dyDescent="0.3">
      <c r="D17" s="114"/>
      <c r="E17" s="114"/>
      <c r="F17" s="114"/>
      <c r="G17" s="114"/>
      <c r="H17" s="114"/>
      <c r="I17" s="114"/>
      <c r="J17" s="114"/>
      <c r="K17" s="114"/>
      <c r="L17" s="114"/>
      <c r="M17" s="114"/>
      <c r="N17" s="114"/>
      <c r="O17" s="22"/>
      <c r="P17" s="22"/>
    </row>
    <row r="18" spans="3:16" x14ac:dyDescent="0.3">
      <c r="C18" s="21" t="s">
        <v>118</v>
      </c>
    </row>
    <row r="19" spans="3:16" x14ac:dyDescent="0.3">
      <c r="D19" s="115"/>
      <c r="E19" s="115"/>
      <c r="F19" s="115"/>
      <c r="G19" s="115"/>
      <c r="H19" s="115"/>
      <c r="I19" s="115"/>
      <c r="J19" s="115"/>
      <c r="K19" s="115"/>
      <c r="L19" s="115"/>
      <c r="M19" s="115"/>
      <c r="N19" s="115"/>
      <c r="O19" s="115"/>
      <c r="P19" s="115"/>
    </row>
    <row r="20" spans="3:16" x14ac:dyDescent="0.3">
      <c r="C20" s="21" t="s">
        <v>119</v>
      </c>
    </row>
    <row r="21" spans="3:16" x14ac:dyDescent="0.3">
      <c r="D21" s="115"/>
      <c r="E21" s="115"/>
      <c r="F21" s="115"/>
      <c r="G21" s="115"/>
      <c r="H21" s="115"/>
      <c r="I21" s="115"/>
      <c r="J21" s="115"/>
      <c r="K21" s="115"/>
      <c r="L21" s="115"/>
      <c r="M21" s="115"/>
      <c r="N21" s="115"/>
      <c r="O21" s="115"/>
      <c r="P21" s="115"/>
    </row>
    <row r="22" spans="3:16" x14ac:dyDescent="0.3">
      <c r="D22" s="22"/>
      <c r="E22" s="22"/>
      <c r="F22" s="22"/>
      <c r="G22" s="22"/>
      <c r="H22" s="22"/>
      <c r="I22" s="22"/>
      <c r="J22" s="22"/>
      <c r="K22" s="22"/>
      <c r="L22" s="22"/>
      <c r="M22" s="22"/>
      <c r="N22" s="22"/>
      <c r="O22" s="22"/>
      <c r="P22" s="22"/>
    </row>
    <row r="23" spans="3:16" x14ac:dyDescent="0.3">
      <c r="C23" s="3" t="s">
        <v>120</v>
      </c>
      <c r="D23" s="23"/>
      <c r="E23" s="23"/>
      <c r="F23" s="3"/>
      <c r="G23" s="3"/>
      <c r="H23" s="3"/>
      <c r="I23" s="3"/>
      <c r="J23" s="3"/>
      <c r="K23" s="3"/>
      <c r="L23" s="3"/>
      <c r="M23" s="3"/>
      <c r="N23" s="3"/>
      <c r="O23" s="3"/>
      <c r="P23" s="3"/>
    </row>
    <row r="26" spans="3:16" x14ac:dyDescent="0.3">
      <c r="C26" s="3" t="s">
        <v>923</v>
      </c>
      <c r="D26" s="3"/>
      <c r="E26" s="3"/>
      <c r="F26" s="3"/>
      <c r="G26" s="3"/>
      <c r="H26" s="3"/>
      <c r="I26" s="3"/>
      <c r="J26" s="3"/>
      <c r="K26" s="3"/>
      <c r="L26" s="3"/>
      <c r="M26" s="3"/>
      <c r="N26" s="3"/>
      <c r="O26" s="3"/>
      <c r="P26" s="3"/>
    </row>
    <row r="37" ht="14.4" customHeight="1" x14ac:dyDescent="0.3"/>
    <row r="153" ht="44.4" customHeight="1" x14ac:dyDescent="0.3"/>
    <row r="155" ht="14.4" customHeight="1" x14ac:dyDescent="0.3"/>
    <row r="167" ht="14.4" customHeight="1" x14ac:dyDescent="0.3"/>
  </sheetData>
  <mergeCells count="3">
    <mergeCell ref="D17:N17"/>
    <mergeCell ref="D19:P19"/>
    <mergeCell ref="D21:P2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97A68-FA61-4F42-AE6C-69227FE30E11}">
  <dimension ref="A2:FC209"/>
  <sheetViews>
    <sheetView topLeftCell="J33" zoomScaleNormal="100" workbookViewId="0">
      <selection activeCell="M34" sqref="M34:S35"/>
    </sheetView>
  </sheetViews>
  <sheetFormatPr defaultRowHeight="14.4" x14ac:dyDescent="0.3"/>
  <cols>
    <col min="3" max="3" width="26.5546875" bestFit="1" customWidth="1"/>
    <col min="4" max="4" width="27.44140625" bestFit="1" customWidth="1"/>
    <col min="5" max="5" width="32.5546875" customWidth="1"/>
    <col min="6" max="6" width="15" bestFit="1" customWidth="1"/>
    <col min="7" max="7" width="18.44140625" bestFit="1" customWidth="1"/>
    <col min="8" max="8" width="19.88671875" bestFit="1" customWidth="1"/>
    <col min="9" max="9" width="9.88671875" bestFit="1" customWidth="1"/>
    <col min="10" max="10" width="22.88671875" customWidth="1"/>
    <col min="11" max="11" width="20.109375" bestFit="1" customWidth="1"/>
    <col min="12" max="12" width="28.44140625" bestFit="1" customWidth="1"/>
    <col min="13" max="13" width="15.109375" bestFit="1" customWidth="1"/>
    <col min="14" max="14" width="15.5546875" bestFit="1" customWidth="1"/>
    <col min="15" max="15" width="15.109375" bestFit="1" customWidth="1"/>
    <col min="16" max="16" width="11.109375" bestFit="1" customWidth="1"/>
    <col min="17" max="17" width="8.109375" customWidth="1"/>
    <col min="18" max="18" width="9.5546875" bestFit="1" customWidth="1"/>
  </cols>
  <sheetData>
    <row r="2" spans="1:159" x14ac:dyDescent="0.3">
      <c r="B2" s="1" t="s">
        <v>1266</v>
      </c>
      <c r="C2" s="1"/>
      <c r="D2" s="1"/>
      <c r="E2" s="1"/>
      <c r="F2" s="1"/>
      <c r="G2" s="1"/>
      <c r="H2" s="1"/>
      <c r="I2" s="1"/>
      <c r="J2" s="1"/>
      <c r="K2" s="1"/>
      <c r="L2" s="1"/>
      <c r="M2" s="1"/>
      <c r="N2" s="1"/>
      <c r="O2" s="1"/>
      <c r="P2" s="1"/>
    </row>
    <row r="3" spans="1:159" x14ac:dyDescent="0.3">
      <c r="B3" s="2"/>
    </row>
    <row r="4" spans="1:159" x14ac:dyDescent="0.3">
      <c r="B4" s="2"/>
    </row>
    <row r="5" spans="1:159" x14ac:dyDescent="0.3">
      <c r="C5" s="3" t="s">
        <v>52</v>
      </c>
      <c r="D5" s="3"/>
      <c r="E5" s="3"/>
      <c r="F5" s="3"/>
      <c r="G5" s="3"/>
      <c r="H5" s="3"/>
      <c r="I5" s="3"/>
      <c r="J5" s="3"/>
      <c r="K5" s="3"/>
      <c r="L5" s="3"/>
      <c r="M5" s="3"/>
      <c r="N5" s="3"/>
      <c r="O5" s="3"/>
      <c r="P5" s="3"/>
    </row>
    <row r="6" spans="1:159" x14ac:dyDescent="0.3">
      <c r="C6" s="32" t="s">
        <v>54</v>
      </c>
      <c r="D6" s="32" t="s">
        <v>390</v>
      </c>
      <c r="E6" s="32" t="s">
        <v>367</v>
      </c>
      <c r="F6" s="32" t="s">
        <v>367</v>
      </c>
      <c r="G6" s="32" t="s">
        <v>1267</v>
      </c>
      <c r="H6" s="32" t="s">
        <v>1268</v>
      </c>
      <c r="I6" s="32" t="s">
        <v>393</v>
      </c>
      <c r="J6" s="32" t="s">
        <v>394</v>
      </c>
      <c r="K6" s="32" t="s">
        <v>1269</v>
      </c>
      <c r="L6" s="32" t="s">
        <v>1270</v>
      </c>
      <c r="M6" s="32" t="s">
        <v>1271</v>
      </c>
      <c r="N6" s="32" t="s">
        <v>1272</v>
      </c>
      <c r="O6" s="32" t="s">
        <v>396</v>
      </c>
      <c r="P6" s="32" t="s">
        <v>1273</v>
      </c>
      <c r="Q6" s="32" t="s">
        <v>1274</v>
      </c>
      <c r="R6" s="32" t="s">
        <v>1275</v>
      </c>
      <c r="S6" s="32" t="s">
        <v>1276</v>
      </c>
      <c r="T6" s="32" t="s">
        <v>1277</v>
      </c>
      <c r="U6" s="32" t="s">
        <v>397</v>
      </c>
      <c r="V6" s="32" t="s">
        <v>1278</v>
      </c>
      <c r="W6" s="32" t="s">
        <v>1279</v>
      </c>
      <c r="X6" s="32" t="s">
        <v>1280</v>
      </c>
      <c r="Y6" s="32" t="s">
        <v>1281</v>
      </c>
      <c r="Z6" s="32" t="s">
        <v>1282</v>
      </c>
      <c r="AA6" s="32" t="s">
        <v>1283</v>
      </c>
      <c r="AB6" s="32" t="s">
        <v>1284</v>
      </c>
      <c r="AC6" s="32" t="s">
        <v>1285</v>
      </c>
      <c r="AD6" s="32" t="s">
        <v>398</v>
      </c>
      <c r="AE6" s="32" t="s">
        <v>1286</v>
      </c>
      <c r="AF6" s="32" t="s">
        <v>1287</v>
      </c>
      <c r="AG6" s="32" t="s">
        <v>401</v>
      </c>
      <c r="AH6" s="32" t="s">
        <v>1288</v>
      </c>
      <c r="AI6" s="32" t="s">
        <v>1289</v>
      </c>
      <c r="AJ6" s="32" t="s">
        <v>1290</v>
      </c>
      <c r="AK6" s="32" t="s">
        <v>1291</v>
      </c>
      <c r="AL6" s="32" t="s">
        <v>1292</v>
      </c>
      <c r="AM6" s="32" t="s">
        <v>1293</v>
      </c>
      <c r="AN6" s="32" t="s">
        <v>1294</v>
      </c>
      <c r="AO6" s="32" t="s">
        <v>1295</v>
      </c>
      <c r="AP6" s="32" t="s">
        <v>1296</v>
      </c>
      <c r="AQ6" s="32" t="s">
        <v>1297</v>
      </c>
      <c r="AR6" s="32" t="s">
        <v>400</v>
      </c>
      <c r="AS6" s="32" t="s">
        <v>399</v>
      </c>
      <c r="AT6" s="32" t="s">
        <v>110</v>
      </c>
      <c r="AU6" s="32" t="s">
        <v>402</v>
      </c>
      <c r="FC6" s="19"/>
    </row>
    <row r="7" spans="1:159" x14ac:dyDescent="0.3">
      <c r="C7" s="32" t="s">
        <v>183</v>
      </c>
      <c r="D7" s="32" t="s">
        <v>403</v>
      </c>
      <c r="E7" s="32" t="s">
        <v>1298</v>
      </c>
      <c r="F7" s="32" t="s">
        <v>1299</v>
      </c>
      <c r="G7" s="4">
        <v>342613</v>
      </c>
      <c r="H7" s="4">
        <v>342613</v>
      </c>
      <c r="I7" s="4">
        <v>0</v>
      </c>
      <c r="J7" s="4">
        <v>0</v>
      </c>
      <c r="K7" s="4">
        <v>0</v>
      </c>
      <c r="L7" s="4">
        <v>0</v>
      </c>
      <c r="M7" s="4">
        <v>0</v>
      </c>
      <c r="N7" s="7">
        <v>336920</v>
      </c>
      <c r="O7" s="4">
        <v>0</v>
      </c>
      <c r="P7" s="7">
        <v>330749</v>
      </c>
      <c r="Q7" s="4">
        <v>0</v>
      </c>
      <c r="R7" s="7">
        <v>160204</v>
      </c>
      <c r="S7" s="7">
        <v>160204</v>
      </c>
      <c r="T7" s="7">
        <v>160204</v>
      </c>
      <c r="U7" s="7">
        <v>160204</v>
      </c>
      <c r="V7" s="4">
        <v>0</v>
      </c>
      <c r="W7" s="4">
        <v>0</v>
      </c>
      <c r="X7" s="4">
        <v>0</v>
      </c>
      <c r="Y7" s="4">
        <v>0</v>
      </c>
      <c r="Z7" s="4">
        <v>0</v>
      </c>
      <c r="AA7" s="4">
        <v>0</v>
      </c>
      <c r="AB7" s="4">
        <v>0</v>
      </c>
      <c r="AC7" s="4">
        <v>0</v>
      </c>
      <c r="AD7" s="7">
        <v>336238</v>
      </c>
      <c r="AE7" s="4">
        <v>0</v>
      </c>
      <c r="AF7" s="7">
        <v>1</v>
      </c>
      <c r="AG7" s="7">
        <v>1</v>
      </c>
      <c r="AH7" s="7">
        <v>1</v>
      </c>
      <c r="AI7" s="7">
        <v>1</v>
      </c>
      <c r="AJ7" s="7">
        <v>1</v>
      </c>
      <c r="AK7" s="7">
        <v>336238</v>
      </c>
      <c r="AL7" s="7">
        <v>336238</v>
      </c>
      <c r="AM7" s="7">
        <v>160204</v>
      </c>
      <c r="AN7" s="7">
        <v>336238</v>
      </c>
      <c r="AO7" s="7">
        <v>336238</v>
      </c>
      <c r="AP7" s="7">
        <v>336238</v>
      </c>
      <c r="AQ7" s="4">
        <v>0</v>
      </c>
      <c r="AR7" s="6">
        <v>342613</v>
      </c>
      <c r="AS7" s="6">
        <v>342613</v>
      </c>
      <c r="AT7" s="4">
        <v>0</v>
      </c>
      <c r="AU7" s="6">
        <v>342613</v>
      </c>
      <c r="FC7" s="19"/>
    </row>
    <row r="8" spans="1:159" x14ac:dyDescent="0.3">
      <c r="B8" t="s">
        <v>111</v>
      </c>
      <c r="C8" s="8"/>
      <c r="D8" s="8"/>
      <c r="E8" s="8"/>
      <c r="F8" s="8"/>
      <c r="G8" s="27"/>
      <c r="H8" s="27"/>
      <c r="I8" s="27">
        <f>($G$7-I7)/$G$7</f>
        <v>1</v>
      </c>
      <c r="J8" s="27">
        <f t="shared" ref="J8:AU8" si="0">($G$7-J7)/$G$7</f>
        <v>1</v>
      </c>
      <c r="K8" s="27">
        <f t="shared" si="0"/>
        <v>1</v>
      </c>
      <c r="L8" s="27">
        <f t="shared" si="0"/>
        <v>1</v>
      </c>
      <c r="M8" s="27">
        <f t="shared" si="0"/>
        <v>1</v>
      </c>
      <c r="N8" s="48">
        <f t="shared" si="0"/>
        <v>1.6616415605946067E-2</v>
      </c>
      <c r="O8" s="27">
        <f t="shared" si="0"/>
        <v>1</v>
      </c>
      <c r="P8" s="48">
        <f t="shared" si="0"/>
        <v>3.4627991348839655E-2</v>
      </c>
      <c r="Q8" s="27">
        <f t="shared" si="0"/>
        <v>1</v>
      </c>
      <c r="R8" s="48">
        <f t="shared" si="0"/>
        <v>0.53240536698840968</v>
      </c>
      <c r="S8" s="48">
        <f t="shared" si="0"/>
        <v>0.53240536698840968</v>
      </c>
      <c r="T8" s="48">
        <f t="shared" si="0"/>
        <v>0.53240536698840968</v>
      </c>
      <c r="U8" s="48">
        <f t="shared" si="0"/>
        <v>0.53240536698840968</v>
      </c>
      <c r="V8" s="27">
        <f t="shared" si="0"/>
        <v>1</v>
      </c>
      <c r="W8" s="27">
        <f t="shared" si="0"/>
        <v>1</v>
      </c>
      <c r="X8" s="27">
        <f t="shared" si="0"/>
        <v>1</v>
      </c>
      <c r="Y8" s="27">
        <f t="shared" si="0"/>
        <v>1</v>
      </c>
      <c r="Z8" s="27">
        <f t="shared" si="0"/>
        <v>1</v>
      </c>
      <c r="AA8" s="27">
        <f t="shared" si="0"/>
        <v>1</v>
      </c>
      <c r="AB8" s="27">
        <f t="shared" si="0"/>
        <v>1</v>
      </c>
      <c r="AC8" s="27">
        <f t="shared" si="0"/>
        <v>1</v>
      </c>
      <c r="AD8" s="48">
        <f t="shared" si="0"/>
        <v>1.8606999734394201E-2</v>
      </c>
      <c r="AE8" s="27">
        <f t="shared" si="0"/>
        <v>1</v>
      </c>
      <c r="AF8" s="27">
        <f t="shared" si="0"/>
        <v>0.99999708125494358</v>
      </c>
      <c r="AG8" s="27">
        <f t="shared" si="0"/>
        <v>0.99999708125494358</v>
      </c>
      <c r="AH8" s="27">
        <f t="shared" si="0"/>
        <v>0.99999708125494358</v>
      </c>
      <c r="AI8" s="27">
        <f t="shared" si="0"/>
        <v>0.99999708125494358</v>
      </c>
      <c r="AJ8" s="27">
        <f t="shared" si="0"/>
        <v>0.99999708125494358</v>
      </c>
      <c r="AK8" s="48">
        <f t="shared" si="0"/>
        <v>1.8606999734394201E-2</v>
      </c>
      <c r="AL8" s="48">
        <f t="shared" si="0"/>
        <v>1.8606999734394201E-2</v>
      </c>
      <c r="AM8" s="48">
        <f t="shared" si="0"/>
        <v>0.53240536698840968</v>
      </c>
      <c r="AN8" s="48">
        <f t="shared" si="0"/>
        <v>1.8606999734394201E-2</v>
      </c>
      <c r="AO8" s="48">
        <f t="shared" si="0"/>
        <v>1.8606999734394201E-2</v>
      </c>
      <c r="AP8" s="48">
        <f t="shared" si="0"/>
        <v>1.8606999734394201E-2</v>
      </c>
      <c r="AQ8" s="27">
        <f t="shared" si="0"/>
        <v>1</v>
      </c>
      <c r="AR8" s="27">
        <f t="shared" si="0"/>
        <v>0</v>
      </c>
      <c r="AS8" s="27">
        <f t="shared" si="0"/>
        <v>0</v>
      </c>
      <c r="AT8" s="27">
        <f t="shared" si="0"/>
        <v>1</v>
      </c>
      <c r="AU8" s="27">
        <f t="shared" si="0"/>
        <v>0</v>
      </c>
    </row>
    <row r="9" spans="1:159" s="19" customFormat="1" x14ac:dyDescent="0.3">
      <c r="A9"/>
      <c r="B9"/>
      <c r="C9" s="14"/>
      <c r="D9" s="14"/>
      <c r="E9" s="14"/>
      <c r="F9" s="14"/>
      <c r="G9" s="14"/>
      <c r="H9" s="14"/>
      <c r="I9" s="14"/>
      <c r="J9" s="14"/>
      <c r="K9" s="14"/>
      <c r="L9" s="14"/>
      <c r="M9" s="14"/>
      <c r="N9" s="68"/>
      <c r="O9" s="68"/>
      <c r="P9" s="15"/>
      <c r="Q9" s="14"/>
      <c r="R9" s="14"/>
    </row>
    <row r="10" spans="1:159" s="19" customFormat="1" x14ac:dyDescent="0.3">
      <c r="A10"/>
      <c r="B10"/>
      <c r="C10" s="14"/>
      <c r="D10" s="15"/>
      <c r="E10" s="16"/>
      <c r="F10" s="16"/>
      <c r="G10" s="16"/>
      <c r="H10" s="69"/>
      <c r="I10" s="69"/>
      <c r="J10" s="69"/>
      <c r="K10" s="69"/>
      <c r="L10" s="70"/>
      <c r="M10" s="70"/>
      <c r="N10" s="68"/>
      <c r="O10" s="68"/>
      <c r="P10" s="14"/>
      <c r="Q10" s="14"/>
      <c r="R10" s="14"/>
    </row>
    <row r="11" spans="1:159" s="19" customFormat="1" x14ac:dyDescent="0.3">
      <c r="C11" s="14"/>
      <c r="D11" s="15"/>
      <c r="E11" s="16"/>
      <c r="F11" s="16"/>
      <c r="G11" s="16"/>
      <c r="H11" s="17"/>
      <c r="I11" s="17"/>
      <c r="J11" s="17"/>
      <c r="K11" s="17"/>
      <c r="L11" s="17"/>
      <c r="M11" s="17"/>
      <c r="N11" s="12"/>
      <c r="O11" s="12"/>
      <c r="P11" s="14"/>
      <c r="Q11" s="14"/>
      <c r="R11" s="14"/>
      <c r="AN11"/>
      <c r="AO11"/>
      <c r="AP11"/>
      <c r="AQ11"/>
      <c r="AR11"/>
      <c r="AS11"/>
      <c r="AT11"/>
    </row>
    <row r="12" spans="1:159" x14ac:dyDescent="0.3">
      <c r="C12" s="3" t="s">
        <v>113</v>
      </c>
      <c r="D12" s="3"/>
      <c r="E12" s="3"/>
      <c r="F12" s="3"/>
      <c r="G12" s="3"/>
      <c r="H12" s="3"/>
      <c r="I12" s="3"/>
      <c r="J12" s="3"/>
      <c r="K12" s="3"/>
      <c r="L12" s="3"/>
      <c r="M12" s="3"/>
      <c r="N12" s="3"/>
      <c r="O12" s="3"/>
      <c r="P12" s="3"/>
    </row>
    <row r="14" spans="1:159" x14ac:dyDescent="0.3">
      <c r="C14" s="20" t="s">
        <v>114</v>
      </c>
    </row>
    <row r="15" spans="1:159" ht="14.4" customHeight="1" x14ac:dyDescent="0.3"/>
    <row r="16" spans="1:159" x14ac:dyDescent="0.3">
      <c r="C16" s="21" t="s">
        <v>116</v>
      </c>
    </row>
    <row r="17" spans="3:16" ht="14.4" customHeight="1" x14ac:dyDescent="0.3">
      <c r="D17" s="114" t="s">
        <v>1300</v>
      </c>
      <c r="E17" s="114"/>
      <c r="F17" s="114"/>
      <c r="G17" s="114"/>
      <c r="H17" s="114"/>
      <c r="I17" s="114"/>
      <c r="J17" s="114"/>
      <c r="K17" s="114"/>
      <c r="L17" s="114"/>
      <c r="M17" s="114"/>
      <c r="N17" s="114"/>
      <c r="O17" s="22"/>
      <c r="P17" s="22"/>
    </row>
    <row r="18" spans="3:16" x14ac:dyDescent="0.3">
      <c r="C18" s="21" t="s">
        <v>118</v>
      </c>
    </row>
    <row r="19" spans="3:16" x14ac:dyDescent="0.3">
      <c r="D19" s="115"/>
      <c r="E19" s="115"/>
      <c r="F19" s="115"/>
      <c r="G19" s="115"/>
      <c r="H19" s="115"/>
      <c r="I19" s="115"/>
      <c r="J19" s="115"/>
      <c r="K19" s="115"/>
      <c r="L19" s="115"/>
      <c r="M19" s="115"/>
      <c r="N19" s="115"/>
      <c r="O19" s="115"/>
      <c r="P19" s="115"/>
    </row>
    <row r="20" spans="3:16" x14ac:dyDescent="0.3">
      <c r="C20" s="21" t="s">
        <v>119</v>
      </c>
    </row>
    <row r="21" spans="3:16" x14ac:dyDescent="0.3">
      <c r="D21" s="115"/>
      <c r="E21" s="115"/>
      <c r="F21" s="115"/>
      <c r="G21" s="115"/>
      <c r="H21" s="115"/>
      <c r="I21" s="115"/>
      <c r="J21" s="115"/>
      <c r="K21" s="115"/>
      <c r="L21" s="115"/>
      <c r="M21" s="115"/>
      <c r="N21" s="115"/>
      <c r="O21" s="115"/>
      <c r="P21" s="115"/>
    </row>
    <row r="22" spans="3:16" x14ac:dyDescent="0.3">
      <c r="D22" s="22"/>
      <c r="E22" s="22"/>
      <c r="F22" s="22"/>
      <c r="G22" s="22"/>
      <c r="H22" s="22"/>
      <c r="I22" s="22"/>
      <c r="J22" s="22"/>
      <c r="K22" s="22"/>
      <c r="L22" s="22"/>
      <c r="M22" s="22"/>
      <c r="N22" s="22"/>
      <c r="O22" s="22"/>
      <c r="P22" s="22"/>
    </row>
    <row r="23" spans="3:16" x14ac:dyDescent="0.3">
      <c r="C23" s="3" t="s">
        <v>120</v>
      </c>
      <c r="D23" s="23"/>
      <c r="E23" s="23"/>
      <c r="F23" s="3"/>
      <c r="G23" s="3"/>
      <c r="H23" s="3"/>
      <c r="I23" s="3"/>
      <c r="J23" s="3"/>
      <c r="K23" s="3"/>
      <c r="L23" s="3"/>
      <c r="M23" s="3"/>
      <c r="N23" s="3"/>
      <c r="O23" s="3"/>
      <c r="P23" s="3"/>
    </row>
    <row r="25" spans="3:16" x14ac:dyDescent="0.3">
      <c r="C25" s="32" t="s">
        <v>1272</v>
      </c>
      <c r="D25" s="7">
        <v>336920</v>
      </c>
    </row>
    <row r="26" spans="3:16" x14ac:dyDescent="0.3">
      <c r="C26" s="32" t="s">
        <v>1273</v>
      </c>
      <c r="D26" s="7">
        <v>330749</v>
      </c>
    </row>
    <row r="27" spans="3:16" x14ac:dyDescent="0.3">
      <c r="C27" s="32" t="s">
        <v>1275</v>
      </c>
      <c r="D27" s="7">
        <v>160204</v>
      </c>
    </row>
    <row r="28" spans="3:16" x14ac:dyDescent="0.3">
      <c r="C28" s="32" t="s">
        <v>1276</v>
      </c>
      <c r="D28" s="7">
        <v>160204</v>
      </c>
    </row>
    <row r="29" spans="3:16" x14ac:dyDescent="0.3">
      <c r="C29" s="32" t="s">
        <v>1277</v>
      </c>
      <c r="D29" s="7">
        <v>160204</v>
      </c>
    </row>
    <row r="30" spans="3:16" x14ac:dyDescent="0.3">
      <c r="C30" s="32" t="s">
        <v>397</v>
      </c>
      <c r="D30" s="7">
        <v>160204</v>
      </c>
    </row>
    <row r="31" spans="3:16" x14ac:dyDescent="0.3">
      <c r="C31" s="32" t="s">
        <v>398</v>
      </c>
      <c r="D31" s="7">
        <v>336238</v>
      </c>
    </row>
    <row r="32" spans="3:16" x14ac:dyDescent="0.3">
      <c r="C32" s="32" t="s">
        <v>1287</v>
      </c>
      <c r="D32" s="7">
        <v>1</v>
      </c>
    </row>
    <row r="33" spans="3:19" x14ac:dyDescent="0.3">
      <c r="C33" s="32" t="s">
        <v>401</v>
      </c>
      <c r="D33" s="7">
        <v>1</v>
      </c>
    </row>
    <row r="34" spans="3:19" x14ac:dyDescent="0.3">
      <c r="C34" s="32" t="s">
        <v>1288</v>
      </c>
      <c r="D34" s="7">
        <v>1</v>
      </c>
      <c r="M34" s="52"/>
      <c r="N34" s="53"/>
      <c r="O34" s="53"/>
      <c r="P34" s="53"/>
      <c r="Q34" s="53"/>
      <c r="R34" s="53"/>
      <c r="S34" s="54"/>
    </row>
    <row r="35" spans="3:19" x14ac:dyDescent="0.3">
      <c r="C35" s="32" t="s">
        <v>1289</v>
      </c>
      <c r="D35" s="7">
        <v>1</v>
      </c>
      <c r="M35" s="55"/>
      <c r="N35" s="56"/>
      <c r="O35" s="56"/>
      <c r="P35" s="56"/>
      <c r="Q35" s="56"/>
      <c r="R35" s="56"/>
      <c r="S35" s="57"/>
    </row>
    <row r="36" spans="3:19" x14ac:dyDescent="0.3">
      <c r="C36" s="32" t="s">
        <v>1290</v>
      </c>
      <c r="D36" s="7">
        <v>1</v>
      </c>
    </row>
    <row r="37" spans="3:19" x14ac:dyDescent="0.3">
      <c r="C37" s="32" t="s">
        <v>1291</v>
      </c>
      <c r="D37" s="7">
        <v>336238</v>
      </c>
    </row>
    <row r="38" spans="3:19" x14ac:dyDescent="0.3">
      <c r="C38" s="32" t="s">
        <v>1292</v>
      </c>
      <c r="D38" s="7">
        <v>336238</v>
      </c>
    </row>
    <row r="39" spans="3:19" x14ac:dyDescent="0.3">
      <c r="C39" s="32" t="s">
        <v>1293</v>
      </c>
      <c r="D39" s="7">
        <v>160204</v>
      </c>
    </row>
    <row r="40" spans="3:19" x14ac:dyDescent="0.3">
      <c r="C40" s="32" t="s">
        <v>1294</v>
      </c>
      <c r="D40" s="7">
        <v>336238</v>
      </c>
    </row>
    <row r="41" spans="3:19" x14ac:dyDescent="0.3">
      <c r="C41" s="32" t="s">
        <v>1295</v>
      </c>
      <c r="D41" s="7">
        <v>336238</v>
      </c>
    </row>
    <row r="42" spans="3:19" x14ac:dyDescent="0.3">
      <c r="C42" s="32" t="s">
        <v>1296</v>
      </c>
      <c r="D42" s="7">
        <v>336238</v>
      </c>
    </row>
    <row r="44" spans="3:19" x14ac:dyDescent="0.3">
      <c r="C44" s="3" t="s">
        <v>121</v>
      </c>
      <c r="D44" s="3"/>
      <c r="E44" s="3"/>
      <c r="F44" s="3"/>
      <c r="G44" s="3"/>
      <c r="H44" s="3"/>
      <c r="I44" s="3"/>
      <c r="J44" s="3"/>
      <c r="K44" s="3"/>
      <c r="L44" s="3"/>
      <c r="M44" s="3"/>
      <c r="N44" s="3"/>
      <c r="O44" s="3"/>
      <c r="P44" s="3"/>
    </row>
    <row r="46" spans="3:19" x14ac:dyDescent="0.3">
      <c r="C46" s="26" t="s">
        <v>1301</v>
      </c>
    </row>
    <row r="47" spans="3:19" x14ac:dyDescent="0.3">
      <c r="D47" s="116" t="s">
        <v>1302</v>
      </c>
      <c r="E47" s="116"/>
      <c r="F47" s="116"/>
      <c r="G47" s="116"/>
      <c r="H47" s="116"/>
      <c r="I47" s="116"/>
      <c r="J47" s="116"/>
      <c r="K47" s="116"/>
      <c r="L47" s="116"/>
      <c r="M47" s="116"/>
      <c r="N47" s="116"/>
    </row>
    <row r="49" spans="3:14" x14ac:dyDescent="0.3">
      <c r="C49" s="4" t="s">
        <v>54</v>
      </c>
      <c r="D49" s="4" t="s">
        <v>390</v>
      </c>
      <c r="E49" s="4" t="s">
        <v>133</v>
      </c>
      <c r="F49" s="4" t="s">
        <v>846</v>
      </c>
      <c r="G49" s="4" t="s">
        <v>847</v>
      </c>
      <c r="H49" s="4" t="s">
        <v>370</v>
      </c>
      <c r="I49" s="4" t="s">
        <v>926</v>
      </c>
      <c r="J49" s="4" t="s">
        <v>927</v>
      </c>
    </row>
    <row r="50" spans="3:14" x14ac:dyDescent="0.3">
      <c r="C50" s="5">
        <v>45657</v>
      </c>
      <c r="D50" s="4" t="s">
        <v>403</v>
      </c>
      <c r="E50" s="4">
        <v>342613</v>
      </c>
      <c r="F50" s="6">
        <v>342613</v>
      </c>
      <c r="G50" s="4">
        <v>0</v>
      </c>
      <c r="H50" s="4">
        <v>0</v>
      </c>
      <c r="I50" s="4">
        <v>0</v>
      </c>
      <c r="J50" s="4">
        <v>0</v>
      </c>
    </row>
    <row r="52" spans="3:14" x14ac:dyDescent="0.3">
      <c r="C52" s="26" t="s">
        <v>1303</v>
      </c>
    </row>
    <row r="53" spans="3:14" x14ac:dyDescent="0.3">
      <c r="D53" s="116" t="s">
        <v>1304</v>
      </c>
      <c r="E53" s="116"/>
      <c r="F53" s="116"/>
      <c r="G53" s="116"/>
      <c r="H53" s="116"/>
      <c r="I53" s="116"/>
      <c r="J53" s="116"/>
      <c r="K53" s="116"/>
      <c r="L53" s="116"/>
      <c r="M53" s="116"/>
      <c r="N53" s="116"/>
    </row>
    <row r="55" spans="3:14" x14ac:dyDescent="0.3">
      <c r="C55" s="4" t="s">
        <v>54</v>
      </c>
      <c r="D55" s="4" t="s">
        <v>390</v>
      </c>
      <c r="E55" s="4" t="s">
        <v>133</v>
      </c>
      <c r="F55" s="4" t="s">
        <v>846</v>
      </c>
      <c r="G55" s="4" t="s">
        <v>847</v>
      </c>
      <c r="H55" s="4" t="s">
        <v>370</v>
      </c>
      <c r="I55" s="4" t="s">
        <v>926</v>
      </c>
      <c r="J55" s="4" t="s">
        <v>927</v>
      </c>
    </row>
    <row r="56" spans="3:14" x14ac:dyDescent="0.3">
      <c r="C56" s="5">
        <v>45657</v>
      </c>
      <c r="D56" s="4" t="s">
        <v>403</v>
      </c>
      <c r="E56" s="4">
        <v>342613</v>
      </c>
      <c r="F56" s="6">
        <v>336238</v>
      </c>
      <c r="G56" s="4">
        <v>0</v>
      </c>
      <c r="H56" s="6">
        <v>6375</v>
      </c>
      <c r="I56" s="4">
        <v>0</v>
      </c>
      <c r="J56" s="4">
        <v>0</v>
      </c>
    </row>
    <row r="58" spans="3:14" x14ac:dyDescent="0.3">
      <c r="C58" s="26" t="s">
        <v>1305</v>
      </c>
    </row>
    <row r="59" spans="3:14" x14ac:dyDescent="0.3">
      <c r="D59" s="116" t="s">
        <v>1306</v>
      </c>
      <c r="E59" s="116"/>
      <c r="F59" s="116"/>
      <c r="G59" s="116"/>
      <c r="H59" s="116"/>
      <c r="I59" s="116"/>
      <c r="J59" s="116"/>
      <c r="K59" s="116"/>
      <c r="L59" s="116"/>
      <c r="M59" s="116"/>
      <c r="N59" s="116"/>
    </row>
    <row r="61" spans="3:14" x14ac:dyDescent="0.3">
      <c r="C61" s="4" t="s">
        <v>54</v>
      </c>
      <c r="D61" s="4" t="s">
        <v>390</v>
      </c>
      <c r="E61" s="4" t="s">
        <v>133</v>
      </c>
      <c r="F61" s="4" t="s">
        <v>846</v>
      </c>
      <c r="G61" s="4" t="s">
        <v>847</v>
      </c>
      <c r="H61" s="4" t="s">
        <v>370</v>
      </c>
      <c r="I61" s="4" t="s">
        <v>926</v>
      </c>
      <c r="J61" s="4" t="s">
        <v>927</v>
      </c>
    </row>
    <row r="62" spans="3:14" x14ac:dyDescent="0.3">
      <c r="C62" s="5">
        <v>45657</v>
      </c>
      <c r="D62" s="4" t="s">
        <v>403</v>
      </c>
      <c r="E62" s="4">
        <v>342613</v>
      </c>
      <c r="F62" s="6">
        <v>342613</v>
      </c>
      <c r="G62" s="4">
        <v>0</v>
      </c>
      <c r="H62" s="4">
        <v>0</v>
      </c>
      <c r="I62" s="4">
        <v>0</v>
      </c>
      <c r="J62" s="4">
        <v>0</v>
      </c>
    </row>
    <row r="64" spans="3:14" x14ac:dyDescent="0.3">
      <c r="C64" s="26" t="s">
        <v>1307</v>
      </c>
    </row>
    <row r="65" spans="3:14" x14ac:dyDescent="0.3">
      <c r="D65" s="116" t="s">
        <v>1308</v>
      </c>
      <c r="E65" s="116"/>
      <c r="F65" s="116"/>
      <c r="G65" s="116"/>
      <c r="H65" s="116"/>
      <c r="I65" s="116"/>
      <c r="J65" s="116"/>
      <c r="K65" s="116"/>
      <c r="L65" s="116"/>
      <c r="M65" s="116"/>
      <c r="N65" s="116"/>
    </row>
    <row r="67" spans="3:14" x14ac:dyDescent="0.3">
      <c r="C67" s="4" t="s">
        <v>54</v>
      </c>
      <c r="D67" s="4" t="s">
        <v>390</v>
      </c>
      <c r="E67" s="4" t="s">
        <v>133</v>
      </c>
      <c r="F67" s="4" t="s">
        <v>846</v>
      </c>
      <c r="G67" s="4" t="s">
        <v>847</v>
      </c>
      <c r="H67" s="4" t="s">
        <v>370</v>
      </c>
      <c r="I67" s="4" t="s">
        <v>926</v>
      </c>
      <c r="J67" s="4" t="s">
        <v>927</v>
      </c>
    </row>
    <row r="68" spans="3:14" x14ac:dyDescent="0.3">
      <c r="C68" s="5">
        <v>45657</v>
      </c>
      <c r="D68" s="4" t="s">
        <v>403</v>
      </c>
      <c r="E68" s="4">
        <v>342613</v>
      </c>
      <c r="F68" s="6">
        <v>342613</v>
      </c>
      <c r="G68" s="4">
        <v>0</v>
      </c>
      <c r="H68" s="4">
        <v>0</v>
      </c>
      <c r="I68" s="4">
        <v>0</v>
      </c>
      <c r="J68" s="4">
        <v>0</v>
      </c>
    </row>
    <row r="70" spans="3:14" x14ac:dyDescent="0.3">
      <c r="C70" s="26" t="s">
        <v>1309</v>
      </c>
    </row>
    <row r="71" spans="3:14" x14ac:dyDescent="0.3">
      <c r="D71" s="116" t="s">
        <v>1310</v>
      </c>
      <c r="E71" s="116"/>
      <c r="F71" s="116"/>
      <c r="G71" s="116"/>
      <c r="H71" s="116"/>
      <c r="I71" s="116"/>
      <c r="J71" s="116"/>
      <c r="K71" s="116"/>
      <c r="L71" s="116"/>
      <c r="M71" s="116"/>
      <c r="N71" s="116"/>
    </row>
    <row r="73" spans="3:14" x14ac:dyDescent="0.3">
      <c r="C73" s="4" t="s">
        <v>54</v>
      </c>
      <c r="D73" s="4" t="s">
        <v>390</v>
      </c>
      <c r="E73" s="4" t="s">
        <v>133</v>
      </c>
      <c r="F73" s="4" t="s">
        <v>846</v>
      </c>
      <c r="G73" s="4" t="s">
        <v>847</v>
      </c>
      <c r="H73" s="4" t="s">
        <v>370</v>
      </c>
      <c r="I73" s="4" t="s">
        <v>926</v>
      </c>
      <c r="J73" s="4" t="s">
        <v>927</v>
      </c>
    </row>
    <row r="74" spans="3:14" x14ac:dyDescent="0.3">
      <c r="C74" s="5">
        <v>45657</v>
      </c>
      <c r="D74" s="4" t="s">
        <v>403</v>
      </c>
      <c r="E74" s="4">
        <v>342613</v>
      </c>
      <c r="F74" s="6">
        <v>342613</v>
      </c>
      <c r="G74" s="4">
        <v>0</v>
      </c>
      <c r="H74" s="4">
        <v>0</v>
      </c>
      <c r="I74" s="4">
        <v>0</v>
      </c>
      <c r="J74" s="4">
        <v>0</v>
      </c>
    </row>
    <row r="76" spans="3:14" x14ac:dyDescent="0.3">
      <c r="C76" s="26" t="s">
        <v>1311</v>
      </c>
    </row>
    <row r="77" spans="3:14" x14ac:dyDescent="0.3">
      <c r="D77" s="116" t="s">
        <v>1312</v>
      </c>
      <c r="E77" s="116"/>
      <c r="F77" s="116"/>
      <c r="G77" s="116"/>
      <c r="H77" s="116"/>
      <c r="I77" s="116"/>
      <c r="J77" s="116"/>
      <c r="K77" s="116"/>
      <c r="L77" s="116"/>
      <c r="M77" s="116"/>
      <c r="N77" s="116"/>
    </row>
    <row r="79" spans="3:14" x14ac:dyDescent="0.3">
      <c r="C79" s="4" t="s">
        <v>54</v>
      </c>
      <c r="D79" s="4" t="s">
        <v>390</v>
      </c>
      <c r="E79" s="4" t="s">
        <v>133</v>
      </c>
      <c r="F79" s="4" t="s">
        <v>846</v>
      </c>
      <c r="G79" s="4" t="s">
        <v>847</v>
      </c>
      <c r="H79" s="4" t="s">
        <v>370</v>
      </c>
      <c r="I79" s="4" t="s">
        <v>926</v>
      </c>
      <c r="J79" s="4" t="s">
        <v>927</v>
      </c>
    </row>
    <row r="80" spans="3:14" x14ac:dyDescent="0.3">
      <c r="C80" s="5">
        <v>45657</v>
      </c>
      <c r="D80" s="4" t="s">
        <v>403</v>
      </c>
      <c r="E80" s="4">
        <v>342613</v>
      </c>
      <c r="F80" s="6">
        <v>342613</v>
      </c>
      <c r="G80" s="4">
        <v>0</v>
      </c>
      <c r="H80" s="4">
        <v>0</v>
      </c>
      <c r="I80" s="4">
        <v>0</v>
      </c>
      <c r="J80" s="4">
        <v>0</v>
      </c>
    </row>
    <row r="82" spans="3:14" x14ac:dyDescent="0.3">
      <c r="C82" s="26" t="s">
        <v>1313</v>
      </c>
    </row>
    <row r="83" spans="3:14" x14ac:dyDescent="0.3">
      <c r="D83" s="116" t="s">
        <v>1314</v>
      </c>
      <c r="E83" s="116"/>
      <c r="F83" s="116"/>
      <c r="G83" s="116"/>
      <c r="H83" s="116"/>
      <c r="I83" s="116"/>
      <c r="J83" s="116"/>
      <c r="K83" s="116"/>
      <c r="L83" s="116"/>
      <c r="M83" s="116"/>
      <c r="N83" s="116"/>
    </row>
    <row r="85" spans="3:14" x14ac:dyDescent="0.3">
      <c r="C85" s="4" t="s">
        <v>54</v>
      </c>
      <c r="D85" s="4" t="s">
        <v>390</v>
      </c>
      <c r="E85" s="4" t="s">
        <v>133</v>
      </c>
      <c r="F85" s="4" t="s">
        <v>846</v>
      </c>
      <c r="G85" s="4" t="s">
        <v>847</v>
      </c>
      <c r="H85" s="4" t="s">
        <v>370</v>
      </c>
      <c r="I85" s="4" t="s">
        <v>1315</v>
      </c>
      <c r="J85" s="4" t="s">
        <v>1316</v>
      </c>
    </row>
    <row r="86" spans="3:14" x14ac:dyDescent="0.3">
      <c r="C86" s="5">
        <v>45657</v>
      </c>
      <c r="D86" s="4" t="s">
        <v>403</v>
      </c>
      <c r="E86" s="4">
        <v>342613</v>
      </c>
      <c r="F86" s="6">
        <v>342613</v>
      </c>
      <c r="G86" s="4">
        <v>0</v>
      </c>
      <c r="H86" s="4">
        <v>0</v>
      </c>
      <c r="I86" s="4">
        <v>0</v>
      </c>
      <c r="J86" s="4">
        <v>0</v>
      </c>
    </row>
    <row r="88" spans="3:14" x14ac:dyDescent="0.3">
      <c r="C88" s="26" t="s">
        <v>1317</v>
      </c>
    </row>
    <row r="89" spans="3:14" x14ac:dyDescent="0.3">
      <c r="D89" s="116" t="s">
        <v>1318</v>
      </c>
      <c r="E89" s="116"/>
      <c r="F89" s="116"/>
      <c r="G89" s="116"/>
      <c r="H89" s="116"/>
      <c r="I89" s="116"/>
      <c r="J89" s="116"/>
      <c r="K89" s="116"/>
      <c r="L89" s="116"/>
      <c r="M89" s="116"/>
      <c r="N89" s="116"/>
    </row>
    <row r="91" spans="3:14" x14ac:dyDescent="0.3">
      <c r="C91" s="4" t="s">
        <v>54</v>
      </c>
      <c r="D91" s="4" t="s">
        <v>390</v>
      </c>
      <c r="E91" s="4" t="s">
        <v>133</v>
      </c>
      <c r="F91" s="4" t="s">
        <v>846</v>
      </c>
      <c r="G91" s="4" t="s">
        <v>847</v>
      </c>
      <c r="H91" s="4" t="s">
        <v>370</v>
      </c>
      <c r="I91" s="4" t="s">
        <v>926</v>
      </c>
      <c r="J91" s="4" t="s">
        <v>927</v>
      </c>
    </row>
    <row r="92" spans="3:14" x14ac:dyDescent="0.3">
      <c r="C92" s="5">
        <v>45657</v>
      </c>
      <c r="D92" s="4" t="s">
        <v>403</v>
      </c>
      <c r="E92" s="4">
        <v>342613</v>
      </c>
      <c r="F92" s="6">
        <v>341951</v>
      </c>
      <c r="G92" s="7">
        <v>662</v>
      </c>
      <c r="H92" s="4">
        <v>0</v>
      </c>
      <c r="I92" s="4">
        <v>0</v>
      </c>
      <c r="J92" s="4">
        <v>0</v>
      </c>
    </row>
    <row r="93" spans="3:14" x14ac:dyDescent="0.3">
      <c r="C93" s="49"/>
      <c r="G93" s="25" t="s">
        <v>1319</v>
      </c>
    </row>
    <row r="94" spans="3:14" x14ac:dyDescent="0.3">
      <c r="C94" s="49"/>
      <c r="G94" s="50" t="s">
        <v>850</v>
      </c>
    </row>
    <row r="95" spans="3:14" x14ac:dyDescent="0.3">
      <c r="C95" s="49"/>
      <c r="H95" s="118" t="s">
        <v>1320</v>
      </c>
      <c r="I95" s="119"/>
    </row>
    <row r="96" spans="3:14" x14ac:dyDescent="0.3">
      <c r="C96" s="49"/>
    </row>
    <row r="97" spans="3:14" x14ac:dyDescent="0.3">
      <c r="C97" s="49"/>
      <c r="G97" s="32" t="s">
        <v>133</v>
      </c>
      <c r="H97" s="32" t="s">
        <v>1317</v>
      </c>
      <c r="I97" s="32" t="s">
        <v>1321</v>
      </c>
      <c r="J97" t="s">
        <v>1322</v>
      </c>
    </row>
    <row r="98" spans="3:14" x14ac:dyDescent="0.3">
      <c r="C98" s="49"/>
      <c r="G98" s="32" t="s">
        <v>1323</v>
      </c>
      <c r="H98" s="32" t="s">
        <v>1324</v>
      </c>
      <c r="I98" s="32" t="s">
        <v>1325</v>
      </c>
      <c r="J98">
        <v>1E-8</v>
      </c>
    </row>
    <row r="100" spans="3:14" x14ac:dyDescent="0.3">
      <c r="C100" s="26" t="s">
        <v>1326</v>
      </c>
    </row>
    <row r="101" spans="3:14" x14ac:dyDescent="0.3">
      <c r="D101" s="116" t="s">
        <v>1327</v>
      </c>
      <c r="E101" s="116"/>
      <c r="F101" s="116"/>
      <c r="G101" s="116"/>
      <c r="H101" s="116"/>
      <c r="I101" s="116"/>
      <c r="J101" s="116"/>
      <c r="K101" s="116"/>
      <c r="L101" s="116"/>
      <c r="M101" s="116"/>
      <c r="N101" s="116"/>
    </row>
    <row r="103" spans="3:14" x14ac:dyDescent="0.3">
      <c r="C103" s="4" t="s">
        <v>54</v>
      </c>
      <c r="D103" s="4" t="s">
        <v>390</v>
      </c>
      <c r="E103" s="4" t="s">
        <v>133</v>
      </c>
      <c r="F103" s="4" t="s">
        <v>846</v>
      </c>
      <c r="G103" s="4" t="s">
        <v>847</v>
      </c>
      <c r="H103" s="4" t="s">
        <v>370</v>
      </c>
      <c r="I103" s="4" t="s">
        <v>926</v>
      </c>
      <c r="J103" s="4" t="s">
        <v>927</v>
      </c>
    </row>
    <row r="104" spans="3:14" x14ac:dyDescent="0.3">
      <c r="C104" s="5">
        <v>45657</v>
      </c>
      <c r="D104" s="4" t="s">
        <v>403</v>
      </c>
      <c r="E104" s="4">
        <v>342613</v>
      </c>
      <c r="F104" s="6">
        <v>76058</v>
      </c>
      <c r="G104" s="7">
        <v>266555</v>
      </c>
      <c r="H104" s="4">
        <v>0</v>
      </c>
      <c r="I104" s="4">
        <v>0</v>
      </c>
      <c r="J104" s="4">
        <v>0</v>
      </c>
    </row>
    <row r="105" spans="3:14" x14ac:dyDescent="0.3">
      <c r="C105" s="49"/>
      <c r="G105" s="25" t="s">
        <v>1319</v>
      </c>
    </row>
    <row r="106" spans="3:14" x14ac:dyDescent="0.3">
      <c r="C106" s="49"/>
      <c r="G106" s="50" t="s">
        <v>850</v>
      </c>
    </row>
    <row r="107" spans="3:14" x14ac:dyDescent="0.3">
      <c r="C107" s="49"/>
      <c r="H107" s="118" t="s">
        <v>1328</v>
      </c>
      <c r="I107" s="119"/>
    </row>
    <row r="108" spans="3:14" x14ac:dyDescent="0.3">
      <c r="C108" s="49"/>
    </row>
    <row r="109" spans="3:14" x14ac:dyDescent="0.3">
      <c r="C109" s="49"/>
      <c r="G109" s="32" t="s">
        <v>133</v>
      </c>
      <c r="H109" s="32" t="s">
        <v>1322</v>
      </c>
      <c r="I109" s="32" t="s">
        <v>1329</v>
      </c>
    </row>
    <row r="110" spans="3:14" x14ac:dyDescent="0.3">
      <c r="C110" s="49"/>
      <c r="G110" s="32" t="s">
        <v>1330</v>
      </c>
      <c r="H110" s="32" t="s">
        <v>1331</v>
      </c>
      <c r="I110" s="32" t="s">
        <v>1332</v>
      </c>
    </row>
    <row r="112" spans="3:14" x14ac:dyDescent="0.3">
      <c r="C112" s="26" t="s">
        <v>1333</v>
      </c>
    </row>
    <row r="113" spans="3:14" x14ac:dyDescent="0.3">
      <c r="D113" s="116" t="s">
        <v>1334</v>
      </c>
      <c r="E113" s="116"/>
      <c r="F113" s="116"/>
      <c r="G113" s="116"/>
      <c r="H113" s="116"/>
      <c r="I113" s="116"/>
      <c r="J113" s="116"/>
      <c r="K113" s="116"/>
      <c r="L113" s="116"/>
      <c r="M113" s="116"/>
      <c r="N113" s="116"/>
    </row>
    <row r="115" spans="3:14" x14ac:dyDescent="0.3">
      <c r="C115" s="4" t="s">
        <v>54</v>
      </c>
      <c r="D115" s="4" t="s">
        <v>390</v>
      </c>
      <c r="E115" s="4" t="s">
        <v>133</v>
      </c>
      <c r="F115" s="4" t="s">
        <v>846</v>
      </c>
      <c r="G115" s="4" t="s">
        <v>847</v>
      </c>
      <c r="H115" s="4" t="s">
        <v>370</v>
      </c>
      <c r="I115" s="4" t="s">
        <v>926</v>
      </c>
      <c r="J115" s="4" t="s">
        <v>927</v>
      </c>
    </row>
    <row r="116" spans="3:14" x14ac:dyDescent="0.3">
      <c r="C116" s="5">
        <v>45657</v>
      </c>
      <c r="D116" s="4" t="s">
        <v>403</v>
      </c>
      <c r="E116" s="4">
        <v>342613</v>
      </c>
      <c r="F116" s="6">
        <v>342613</v>
      </c>
      <c r="G116" s="4">
        <v>0</v>
      </c>
      <c r="H116" s="4">
        <v>0</v>
      </c>
      <c r="I116" s="4">
        <v>0</v>
      </c>
      <c r="J116" s="4">
        <v>0</v>
      </c>
    </row>
    <row r="118" spans="3:14" x14ac:dyDescent="0.3">
      <c r="C118" s="26" t="s">
        <v>1335</v>
      </c>
    </row>
    <row r="119" spans="3:14" x14ac:dyDescent="0.3">
      <c r="D119" s="116" t="s">
        <v>1336</v>
      </c>
      <c r="E119" s="116"/>
      <c r="F119" s="116"/>
      <c r="G119" s="116"/>
      <c r="H119" s="116"/>
      <c r="I119" s="116"/>
      <c r="J119" s="116"/>
      <c r="K119" s="116"/>
      <c r="L119" s="116"/>
      <c r="M119" s="116"/>
      <c r="N119" s="116"/>
    </row>
    <row r="121" spans="3:14" x14ac:dyDescent="0.3">
      <c r="C121" s="4" t="s">
        <v>54</v>
      </c>
      <c r="D121" s="4" t="s">
        <v>390</v>
      </c>
      <c r="E121" s="4" t="s">
        <v>133</v>
      </c>
      <c r="F121" s="4" t="s">
        <v>846</v>
      </c>
      <c r="G121" s="4" t="s">
        <v>847</v>
      </c>
      <c r="H121" s="4" t="s">
        <v>370</v>
      </c>
      <c r="I121" s="4" t="s">
        <v>926</v>
      </c>
      <c r="J121" s="4" t="s">
        <v>927</v>
      </c>
    </row>
    <row r="122" spans="3:14" x14ac:dyDescent="0.3">
      <c r="C122" s="5">
        <v>45657</v>
      </c>
      <c r="D122" s="4" t="s">
        <v>403</v>
      </c>
      <c r="E122" s="4">
        <v>342613</v>
      </c>
      <c r="F122" s="6">
        <v>6375</v>
      </c>
      <c r="G122" s="7">
        <v>336238</v>
      </c>
      <c r="H122" s="4">
        <v>0</v>
      </c>
      <c r="I122" s="4">
        <v>0</v>
      </c>
      <c r="J122" s="4">
        <v>0</v>
      </c>
    </row>
    <row r="123" spans="3:14" x14ac:dyDescent="0.3">
      <c r="C123" s="49"/>
      <c r="G123" s="25" t="s">
        <v>1337</v>
      </c>
    </row>
    <row r="124" spans="3:14" x14ac:dyDescent="0.3">
      <c r="C124" s="49"/>
      <c r="G124" s="50" t="s">
        <v>850</v>
      </c>
    </row>
    <row r="125" spans="3:14" x14ac:dyDescent="0.3">
      <c r="C125" s="49"/>
      <c r="H125" s="118" t="s">
        <v>1338</v>
      </c>
      <c r="I125" s="119"/>
    </row>
    <row r="126" spans="3:14" x14ac:dyDescent="0.3">
      <c r="C126" s="49"/>
    </row>
    <row r="127" spans="3:14" x14ac:dyDescent="0.3">
      <c r="C127" s="49"/>
      <c r="G127" s="32" t="s">
        <v>133</v>
      </c>
      <c r="H127" s="4" t="s">
        <v>1322</v>
      </c>
      <c r="I127" s="4" t="s">
        <v>1329</v>
      </c>
    </row>
    <row r="128" spans="3:14" x14ac:dyDescent="0.3">
      <c r="C128" s="49"/>
      <c r="G128" s="32" t="s">
        <v>1339</v>
      </c>
      <c r="H128" s="4">
        <v>5.2722097053518303E-2</v>
      </c>
      <c r="I128" s="4">
        <v>2.24891003753645E-4</v>
      </c>
    </row>
    <row r="130" spans="3:14" x14ac:dyDescent="0.3">
      <c r="C130" s="26" t="s">
        <v>1340</v>
      </c>
    </row>
    <row r="131" spans="3:14" x14ac:dyDescent="0.3">
      <c r="D131" s="116" t="s">
        <v>1341</v>
      </c>
      <c r="E131" s="116"/>
      <c r="F131" s="116"/>
      <c r="G131" s="116"/>
      <c r="H131" s="116"/>
      <c r="I131" s="116"/>
      <c r="J131" s="116"/>
      <c r="K131" s="116"/>
      <c r="L131" s="116"/>
      <c r="M131" s="116"/>
      <c r="N131" s="116"/>
    </row>
    <row r="133" spans="3:14" x14ac:dyDescent="0.3">
      <c r="C133" s="4" t="s">
        <v>54</v>
      </c>
      <c r="D133" s="4" t="s">
        <v>390</v>
      </c>
      <c r="E133" s="4" t="s">
        <v>133</v>
      </c>
      <c r="F133" s="4" t="s">
        <v>846</v>
      </c>
      <c r="G133" s="4" t="s">
        <v>847</v>
      </c>
      <c r="H133" s="4" t="s">
        <v>370</v>
      </c>
      <c r="I133" s="4" t="s">
        <v>926</v>
      </c>
      <c r="J133" s="4" t="s">
        <v>927</v>
      </c>
    </row>
    <row r="134" spans="3:14" x14ac:dyDescent="0.3">
      <c r="C134" s="5">
        <v>45657</v>
      </c>
      <c r="D134" s="4" t="s">
        <v>403</v>
      </c>
      <c r="E134" s="4">
        <v>342613</v>
      </c>
      <c r="F134" s="6">
        <v>6376</v>
      </c>
      <c r="G134" s="7">
        <v>336237</v>
      </c>
      <c r="H134" s="4">
        <v>0</v>
      </c>
      <c r="I134" s="4">
        <v>0</v>
      </c>
      <c r="J134" s="4">
        <v>0</v>
      </c>
    </row>
    <row r="135" spans="3:14" x14ac:dyDescent="0.3">
      <c r="C135" s="49"/>
      <c r="G135" s="25" t="s">
        <v>1342</v>
      </c>
    </row>
    <row r="136" spans="3:14" x14ac:dyDescent="0.3">
      <c r="C136" s="49"/>
      <c r="G136" s="50" t="s">
        <v>850</v>
      </c>
    </row>
    <row r="137" spans="3:14" x14ac:dyDescent="0.3">
      <c r="C137" s="49"/>
      <c r="H137" s="118" t="s">
        <v>1343</v>
      </c>
      <c r="I137" s="119"/>
    </row>
    <row r="138" spans="3:14" x14ac:dyDescent="0.3">
      <c r="C138" s="49"/>
    </row>
    <row r="139" spans="3:14" x14ac:dyDescent="0.3">
      <c r="C139" s="49"/>
      <c r="G139" s="32" t="s">
        <v>133</v>
      </c>
      <c r="H139" s="4" t="s">
        <v>1322</v>
      </c>
      <c r="I139" s="4" t="s">
        <v>1329</v>
      </c>
    </row>
    <row r="140" spans="3:14" x14ac:dyDescent="0.3">
      <c r="C140" s="49"/>
      <c r="G140" s="32" t="s">
        <v>1344</v>
      </c>
      <c r="H140" s="4">
        <v>1.1819000000000001E-4</v>
      </c>
      <c r="I140" s="4">
        <v>1E-8</v>
      </c>
    </row>
    <row r="141" spans="3:14" x14ac:dyDescent="0.3">
      <c r="C141" s="26" t="s">
        <v>1345</v>
      </c>
    </row>
    <row r="142" spans="3:14" x14ac:dyDescent="0.3">
      <c r="D142" s="116" t="s">
        <v>1346</v>
      </c>
      <c r="E142" s="116"/>
      <c r="F142" s="116"/>
      <c r="G142" s="116"/>
      <c r="H142" s="116"/>
      <c r="I142" s="116"/>
      <c r="J142" s="116"/>
      <c r="K142" s="116"/>
      <c r="L142" s="116"/>
      <c r="M142" s="116"/>
      <c r="N142" s="116"/>
    </row>
    <row r="144" spans="3:14" x14ac:dyDescent="0.3">
      <c r="C144" s="4" t="s">
        <v>54</v>
      </c>
      <c r="D144" s="4" t="s">
        <v>390</v>
      </c>
      <c r="E144" s="4" t="s">
        <v>133</v>
      </c>
      <c r="F144" s="4" t="s">
        <v>846</v>
      </c>
      <c r="G144" s="4" t="s">
        <v>847</v>
      </c>
      <c r="H144" s="4" t="s">
        <v>370</v>
      </c>
      <c r="I144" s="4" t="s">
        <v>926</v>
      </c>
      <c r="J144" s="4" t="s">
        <v>927</v>
      </c>
    </row>
    <row r="145" spans="3:10" x14ac:dyDescent="0.3">
      <c r="C145" s="5">
        <v>45657</v>
      </c>
      <c r="D145" s="4" t="s">
        <v>403</v>
      </c>
      <c r="E145" s="4">
        <v>342613</v>
      </c>
      <c r="F145" s="6">
        <v>335920</v>
      </c>
      <c r="G145" s="7">
        <v>6693</v>
      </c>
      <c r="H145" s="4">
        <v>0</v>
      </c>
      <c r="I145" s="4">
        <v>0</v>
      </c>
      <c r="J145" s="4">
        <v>0</v>
      </c>
    </row>
    <row r="146" spans="3:10" x14ac:dyDescent="0.3">
      <c r="G146" s="25" t="s">
        <v>1342</v>
      </c>
    </row>
    <row r="147" spans="3:10" x14ac:dyDescent="0.3">
      <c r="G147" s="50" t="s">
        <v>850</v>
      </c>
    </row>
    <row r="148" spans="3:10" x14ac:dyDescent="0.3">
      <c r="H148" s="118" t="s">
        <v>1347</v>
      </c>
      <c r="I148" s="119"/>
    </row>
    <row r="150" spans="3:10" x14ac:dyDescent="0.3">
      <c r="G150" s="32" t="s">
        <v>133</v>
      </c>
      <c r="H150" s="4" t="s">
        <v>1322</v>
      </c>
      <c r="I150" s="4" t="s">
        <v>1329</v>
      </c>
    </row>
    <row r="151" spans="3:10" x14ac:dyDescent="0.3">
      <c r="G151" s="32" t="s">
        <v>1348</v>
      </c>
      <c r="H151" s="4">
        <v>1E-8</v>
      </c>
      <c r="I151" s="4">
        <v>1E-8</v>
      </c>
    </row>
    <row r="195" ht="44.4" customHeight="1" x14ac:dyDescent="0.3"/>
    <row r="197" ht="14.4" customHeight="1" x14ac:dyDescent="0.3"/>
    <row r="209" ht="14.4" customHeight="1" x14ac:dyDescent="0.3"/>
  </sheetData>
  <mergeCells count="21">
    <mergeCell ref="H148:I148"/>
    <mergeCell ref="H107:I107"/>
    <mergeCell ref="D119:N119"/>
    <mergeCell ref="D131:N131"/>
    <mergeCell ref="H95:I95"/>
    <mergeCell ref="H125:I125"/>
    <mergeCell ref="H137:I137"/>
    <mergeCell ref="D142:N142"/>
    <mergeCell ref="D83:N83"/>
    <mergeCell ref="D89:N89"/>
    <mergeCell ref="D101:N101"/>
    <mergeCell ref="D113:N113"/>
    <mergeCell ref="D17:N17"/>
    <mergeCell ref="D19:P19"/>
    <mergeCell ref="D21:P21"/>
    <mergeCell ref="D47:N47"/>
    <mergeCell ref="D71:N71"/>
    <mergeCell ref="D77:N77"/>
    <mergeCell ref="D53:N53"/>
    <mergeCell ref="D59:N59"/>
    <mergeCell ref="D65:N6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BBB0C-8952-42CD-9239-4E456FEAFB7C}">
  <dimension ref="A2:FW167"/>
  <sheetViews>
    <sheetView topLeftCell="A10" workbookViewId="0">
      <selection activeCell="D20" sqref="D20"/>
    </sheetView>
  </sheetViews>
  <sheetFormatPr defaultRowHeight="14.4" x14ac:dyDescent="0.3"/>
  <cols>
    <col min="3" max="3" width="26.5546875" bestFit="1" customWidth="1"/>
    <col min="4" max="4" width="27.44140625" bestFit="1" customWidth="1"/>
    <col min="5" max="5" width="32.5546875" customWidth="1"/>
    <col min="6" max="6" width="15" bestFit="1" customWidth="1"/>
    <col min="7" max="7" width="18.44140625" bestFit="1" customWidth="1"/>
    <col min="8" max="8" width="19.88671875" bestFit="1" customWidth="1"/>
    <col min="9" max="9" width="9.88671875" bestFit="1" customWidth="1"/>
    <col min="10" max="10" width="22.88671875" customWidth="1"/>
    <col min="11" max="11" width="20.109375" bestFit="1" customWidth="1"/>
    <col min="12" max="12" width="28.44140625" bestFit="1" customWidth="1"/>
    <col min="13" max="13" width="15.109375" bestFit="1" customWidth="1"/>
    <col min="14" max="14" width="15.5546875" bestFit="1" customWidth="1"/>
    <col min="15" max="15" width="15.109375" bestFit="1" customWidth="1"/>
    <col min="16" max="16" width="11.109375" bestFit="1" customWidth="1"/>
    <col min="17" max="17" width="9.88671875" customWidth="1"/>
    <col min="18" max="18" width="9.5546875" bestFit="1" customWidth="1"/>
  </cols>
  <sheetData>
    <row r="2" spans="1:179" x14ac:dyDescent="0.3">
      <c r="B2" s="1" t="s">
        <v>1349</v>
      </c>
      <c r="C2" s="1"/>
      <c r="D2" s="1"/>
      <c r="E2" s="1"/>
      <c r="F2" s="1"/>
      <c r="G2" s="1"/>
      <c r="H2" s="1"/>
      <c r="I2" s="1"/>
      <c r="J2" s="1"/>
      <c r="K2" s="1"/>
      <c r="L2" s="1"/>
      <c r="M2" s="1"/>
      <c r="N2" s="1"/>
      <c r="O2" s="1"/>
      <c r="P2" s="1"/>
    </row>
    <row r="3" spans="1:179" x14ac:dyDescent="0.3">
      <c r="B3" s="2"/>
    </row>
    <row r="4" spans="1:179" x14ac:dyDescent="0.3">
      <c r="B4" s="2"/>
    </row>
    <row r="5" spans="1:179" x14ac:dyDescent="0.3">
      <c r="C5" s="3" t="s">
        <v>52</v>
      </c>
      <c r="D5" s="3"/>
      <c r="E5" s="3"/>
      <c r="F5" s="3"/>
      <c r="G5" s="3"/>
      <c r="H5" s="3"/>
      <c r="I5" s="3"/>
      <c r="J5" s="3"/>
      <c r="K5" s="3"/>
      <c r="L5" s="3"/>
      <c r="M5" s="3"/>
      <c r="N5" s="3"/>
      <c r="O5" s="3"/>
      <c r="P5" s="3"/>
    </row>
    <row r="6" spans="1:179" x14ac:dyDescent="0.3">
      <c r="C6" s="32" t="s">
        <v>54</v>
      </c>
      <c r="D6" s="32" t="s">
        <v>390</v>
      </c>
      <c r="E6" s="32" t="s">
        <v>391</v>
      </c>
      <c r="F6" s="32" t="s">
        <v>392</v>
      </c>
      <c r="G6" s="32" t="s">
        <v>393</v>
      </c>
      <c r="H6" s="32" t="s">
        <v>394</v>
      </c>
      <c r="I6" s="32" t="s">
        <v>876</v>
      </c>
      <c r="J6" s="32" t="s">
        <v>1350</v>
      </c>
      <c r="K6" s="32" t="s">
        <v>1351</v>
      </c>
      <c r="L6" s="32" t="s">
        <v>1352</v>
      </c>
      <c r="M6" s="32" t="s">
        <v>1353</v>
      </c>
      <c r="N6" s="32" t="s">
        <v>1354</v>
      </c>
      <c r="O6" s="32" t="s">
        <v>1355</v>
      </c>
      <c r="P6" s="32" t="s">
        <v>1356</v>
      </c>
      <c r="Q6" s="32" t="s">
        <v>1357</v>
      </c>
      <c r="R6" s="32" t="s">
        <v>1358</v>
      </c>
      <c r="S6" s="19" t="s">
        <v>1359</v>
      </c>
      <c r="T6" s="19" t="s">
        <v>1360</v>
      </c>
      <c r="U6" s="19" t="s">
        <v>1361</v>
      </c>
      <c r="V6" s="19" t="s">
        <v>1362</v>
      </c>
      <c r="W6" s="19" t="s">
        <v>1363</v>
      </c>
      <c r="X6" s="19" t="s">
        <v>1364</v>
      </c>
      <c r="Y6" s="19" t="s">
        <v>1365</v>
      </c>
      <c r="Z6" s="19" t="s">
        <v>1366</v>
      </c>
      <c r="AA6" s="19" t="s">
        <v>1273</v>
      </c>
      <c r="AB6" s="19" t="s">
        <v>395</v>
      </c>
      <c r="AC6" s="19" t="s">
        <v>1367</v>
      </c>
      <c r="AD6" s="19" t="s">
        <v>1368</v>
      </c>
      <c r="AE6" s="19" t="s">
        <v>1369</v>
      </c>
      <c r="AF6" s="19" t="s">
        <v>1370</v>
      </c>
      <c r="AG6" s="19" t="s">
        <v>1371</v>
      </c>
      <c r="AH6" s="19" t="s">
        <v>1372</v>
      </c>
      <c r="AI6" s="19" t="s">
        <v>1373</v>
      </c>
      <c r="AJ6" s="19" t="s">
        <v>1374</v>
      </c>
      <c r="AK6" s="19" t="s">
        <v>1375</v>
      </c>
      <c r="AL6" s="19" t="s">
        <v>1376</v>
      </c>
      <c r="AM6" s="19" t="s">
        <v>1377</v>
      </c>
      <c r="AN6" s="19" t="s">
        <v>1378</v>
      </c>
      <c r="AO6" s="19" t="s">
        <v>1379</v>
      </c>
      <c r="AP6" s="19" t="s">
        <v>1380</v>
      </c>
      <c r="AQ6" s="19" t="s">
        <v>1297</v>
      </c>
      <c r="AR6" s="19" t="s">
        <v>399</v>
      </c>
      <c r="AS6" s="19" t="s">
        <v>400</v>
      </c>
      <c r="AT6" s="19" t="s">
        <v>110</v>
      </c>
      <c r="AU6" s="19" t="s">
        <v>402</v>
      </c>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c r="EN6" s="19"/>
      <c r="EO6" s="19"/>
      <c r="EP6" s="19"/>
      <c r="EQ6" s="19"/>
      <c r="ER6" s="19"/>
      <c r="ES6" s="19"/>
      <c r="ET6" s="19"/>
      <c r="EU6" s="19"/>
      <c r="EV6" s="19"/>
      <c r="EW6" s="19"/>
      <c r="EX6" s="19"/>
      <c r="EY6" s="19"/>
      <c r="EZ6" s="19"/>
      <c r="FA6" s="19"/>
      <c r="FB6" s="19"/>
      <c r="FC6" s="19"/>
      <c r="FD6" s="19"/>
      <c r="FE6" s="19"/>
      <c r="FF6" s="19"/>
      <c r="FG6" s="19"/>
      <c r="FH6" s="19"/>
      <c r="FI6" s="19"/>
      <c r="FJ6" s="19"/>
      <c r="FK6" s="19"/>
      <c r="FL6" s="19"/>
      <c r="FM6" s="19"/>
      <c r="FN6" s="19"/>
      <c r="FO6" s="19"/>
      <c r="FP6" s="19"/>
      <c r="FQ6" s="19"/>
      <c r="FR6" s="19"/>
      <c r="FS6" s="19"/>
      <c r="FT6" s="19"/>
      <c r="FU6" s="19"/>
      <c r="FV6" s="19"/>
      <c r="FW6" s="19"/>
    </row>
    <row r="7" spans="1:179" x14ac:dyDescent="0.3">
      <c r="C7" s="5">
        <v>45657</v>
      </c>
      <c r="D7" s="32" t="s">
        <v>403</v>
      </c>
      <c r="E7" s="4">
        <v>342613</v>
      </c>
      <c r="F7" s="4">
        <v>342613</v>
      </c>
      <c r="G7" s="4">
        <v>0</v>
      </c>
      <c r="H7" s="4">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s="62">
        <v>342613</v>
      </c>
      <c r="AS7" s="62">
        <v>342613</v>
      </c>
      <c r="AT7">
        <v>0</v>
      </c>
      <c r="AU7" s="62">
        <v>342613</v>
      </c>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19"/>
      <c r="EW7" s="19"/>
      <c r="EX7" s="19"/>
      <c r="EY7" s="19"/>
      <c r="EZ7" s="19"/>
      <c r="FA7" s="19"/>
      <c r="FB7" s="19"/>
      <c r="FC7" s="19"/>
      <c r="FD7" s="19"/>
      <c r="FE7" s="19"/>
      <c r="FF7" s="19"/>
      <c r="FG7" s="19"/>
      <c r="FH7" s="19"/>
      <c r="FI7" s="19"/>
      <c r="FJ7" s="19"/>
      <c r="FK7" s="19"/>
      <c r="FL7" s="19"/>
      <c r="FM7" s="19"/>
      <c r="FN7" s="19"/>
      <c r="FO7" s="19"/>
      <c r="FP7" s="19"/>
      <c r="FQ7" s="19"/>
      <c r="FR7" s="19"/>
      <c r="FS7" s="19"/>
      <c r="FT7" s="19"/>
      <c r="FU7" s="19"/>
      <c r="FV7" s="19"/>
      <c r="FW7" s="19"/>
    </row>
    <row r="8" spans="1:179" x14ac:dyDescent="0.3">
      <c r="B8" t="s">
        <v>111</v>
      </c>
      <c r="C8" s="4"/>
      <c r="D8" s="4"/>
      <c r="E8" s="4"/>
      <c r="F8" s="28"/>
      <c r="G8" s="28">
        <f>($E$7-(G7))/$E$7</f>
        <v>1</v>
      </c>
      <c r="H8" s="28">
        <f t="shared" ref="H8:AN8" si="0">($E$7-(H7))/$E$7</f>
        <v>1</v>
      </c>
      <c r="I8" s="28">
        <f t="shared" si="0"/>
        <v>1</v>
      </c>
      <c r="J8" s="28">
        <f t="shared" si="0"/>
        <v>1</v>
      </c>
      <c r="K8" s="28">
        <f t="shared" si="0"/>
        <v>1</v>
      </c>
      <c r="L8" s="28">
        <f t="shared" si="0"/>
        <v>1</v>
      </c>
      <c r="M8" s="28">
        <f t="shared" si="0"/>
        <v>1</v>
      </c>
      <c r="N8" s="28">
        <f t="shared" si="0"/>
        <v>1</v>
      </c>
      <c r="O8" s="28">
        <f t="shared" si="0"/>
        <v>1</v>
      </c>
      <c r="P8" s="28">
        <f t="shared" si="0"/>
        <v>1</v>
      </c>
      <c r="Q8" s="28">
        <f t="shared" si="0"/>
        <v>1</v>
      </c>
      <c r="R8" s="28">
        <f t="shared" si="0"/>
        <v>1</v>
      </c>
      <c r="S8" s="28">
        <f t="shared" si="0"/>
        <v>1</v>
      </c>
      <c r="T8" s="28">
        <f t="shared" si="0"/>
        <v>1</v>
      </c>
      <c r="U8" s="28">
        <f t="shared" si="0"/>
        <v>1</v>
      </c>
      <c r="V8" s="28">
        <f t="shared" si="0"/>
        <v>1</v>
      </c>
      <c r="W8" s="28">
        <f t="shared" si="0"/>
        <v>1</v>
      </c>
      <c r="X8" s="28">
        <f t="shared" si="0"/>
        <v>1</v>
      </c>
      <c r="Y8" s="28">
        <f t="shared" si="0"/>
        <v>1</v>
      </c>
      <c r="Z8" s="28">
        <f t="shared" si="0"/>
        <v>1</v>
      </c>
      <c r="AA8" s="28">
        <f t="shared" si="0"/>
        <v>1</v>
      </c>
      <c r="AB8" s="28">
        <f t="shared" si="0"/>
        <v>1</v>
      </c>
      <c r="AC8" s="28">
        <f t="shared" si="0"/>
        <v>1</v>
      </c>
      <c r="AD8" s="28">
        <f t="shared" si="0"/>
        <v>1</v>
      </c>
      <c r="AE8" s="28">
        <f t="shared" si="0"/>
        <v>1</v>
      </c>
      <c r="AF8" s="28">
        <f t="shared" si="0"/>
        <v>1</v>
      </c>
      <c r="AG8" s="28">
        <f t="shared" si="0"/>
        <v>1</v>
      </c>
      <c r="AH8" s="28">
        <f t="shared" si="0"/>
        <v>1</v>
      </c>
      <c r="AI8" s="28">
        <f t="shared" si="0"/>
        <v>1</v>
      </c>
      <c r="AJ8" s="28">
        <f t="shared" si="0"/>
        <v>1</v>
      </c>
      <c r="AK8" s="28">
        <f t="shared" si="0"/>
        <v>1</v>
      </c>
      <c r="AL8" s="28">
        <f t="shared" si="0"/>
        <v>1</v>
      </c>
      <c r="AM8" s="28">
        <f t="shared" si="0"/>
        <v>1</v>
      </c>
      <c r="AN8" s="28">
        <f t="shared" si="0"/>
        <v>1</v>
      </c>
      <c r="AO8" s="28">
        <f t="shared" ref="AO8" si="1">($E$7-(AO7))/$E$7</f>
        <v>1</v>
      </c>
      <c r="AP8" s="28">
        <f t="shared" ref="AP8" si="2">($E$7-(AP7))/$E$7</f>
        <v>1</v>
      </c>
      <c r="AQ8" s="28">
        <f t="shared" ref="AQ8" si="3">($E$7-(AQ7))/$E$7</f>
        <v>1</v>
      </c>
      <c r="AR8" s="28">
        <f t="shared" ref="AR8" si="4">($E$7-(AR7))/$E$7</f>
        <v>0</v>
      </c>
      <c r="AS8" s="28">
        <f t="shared" ref="AS8" si="5">($E$7-(AS7))/$E$7</f>
        <v>0</v>
      </c>
      <c r="AT8" s="28">
        <f t="shared" ref="AT8" si="6">($E$7-(AT7))/$E$7</f>
        <v>1</v>
      </c>
      <c r="AU8" s="28">
        <f t="shared" ref="AU8" si="7">($E$7-(AU7))/$E$7</f>
        <v>0</v>
      </c>
    </row>
    <row r="9" spans="1:179" s="19" customFormat="1" x14ac:dyDescent="0.3">
      <c r="A9"/>
      <c r="B9"/>
      <c r="C9" s="75"/>
      <c r="D9" s="75"/>
      <c r="E9" s="75"/>
      <c r="F9" s="75"/>
      <c r="G9" s="75"/>
      <c r="H9" s="75"/>
      <c r="I9" s="75"/>
      <c r="J9" s="75"/>
      <c r="K9" s="75"/>
      <c r="L9" s="75"/>
      <c r="M9" s="75"/>
      <c r="N9" s="76"/>
      <c r="O9" s="76"/>
      <c r="P9" s="77"/>
      <c r="Q9" s="75"/>
      <c r="R9" s="75"/>
    </row>
    <row r="10" spans="1:179" s="19" customFormat="1" x14ac:dyDescent="0.3">
      <c r="A10"/>
      <c r="B10"/>
      <c r="C10" s="14"/>
      <c r="D10" s="15"/>
      <c r="E10" s="16"/>
      <c r="F10" s="16"/>
      <c r="G10" s="16"/>
      <c r="H10" s="69"/>
      <c r="I10" s="69"/>
      <c r="J10" s="69"/>
      <c r="K10" s="69"/>
      <c r="L10" s="70"/>
      <c r="M10" s="70"/>
      <c r="N10" s="68"/>
      <c r="O10" s="68"/>
      <c r="P10" s="14"/>
      <c r="Q10" s="14"/>
      <c r="R10" s="14"/>
    </row>
    <row r="11" spans="1:179" x14ac:dyDescent="0.3">
      <c r="A11" s="19"/>
      <c r="B11" s="19"/>
      <c r="C11" s="14"/>
      <c r="D11" s="15"/>
      <c r="E11" s="16"/>
      <c r="F11" s="16"/>
      <c r="G11" s="16"/>
      <c r="H11" s="17"/>
      <c r="I11" s="17"/>
      <c r="J11" s="17"/>
      <c r="K11" s="17"/>
      <c r="L11" s="17"/>
      <c r="M11" s="17"/>
      <c r="N11" s="12"/>
      <c r="O11" s="12"/>
      <c r="P11" s="14"/>
      <c r="Q11" s="14"/>
      <c r="R11" s="14"/>
      <c r="S11" s="19"/>
      <c r="T11" s="19"/>
      <c r="U11" s="19"/>
      <c r="V11" s="19"/>
      <c r="W11" s="19"/>
      <c r="X11" s="19"/>
      <c r="Y11" s="19"/>
      <c r="Z11" s="19"/>
      <c r="AA11" s="19"/>
      <c r="AB11" s="19"/>
      <c r="AC11" s="19"/>
      <c r="AD11" s="19"/>
      <c r="AE11" s="19"/>
      <c r="AF11" s="19"/>
      <c r="AG11" s="19"/>
      <c r="AH11" s="19"/>
      <c r="AI11" s="19"/>
      <c r="AJ11" s="19"/>
      <c r="AK11" s="19"/>
      <c r="AL11" s="19"/>
      <c r="AM11" s="19"/>
      <c r="AN11" s="19"/>
    </row>
    <row r="12" spans="1:179" x14ac:dyDescent="0.3">
      <c r="C12" s="3" t="s">
        <v>113</v>
      </c>
      <c r="D12" s="3"/>
      <c r="E12" s="3"/>
      <c r="F12" s="3"/>
      <c r="G12" s="3"/>
      <c r="H12" s="3"/>
      <c r="I12" s="3"/>
      <c r="J12" s="3"/>
      <c r="K12" s="3"/>
      <c r="L12" s="3"/>
      <c r="M12" s="3"/>
      <c r="N12" s="3"/>
      <c r="O12" s="3"/>
      <c r="P12" s="3"/>
    </row>
    <row r="14" spans="1:179" x14ac:dyDescent="0.3">
      <c r="C14" s="21" t="s">
        <v>114</v>
      </c>
    </row>
    <row r="15" spans="1:179" ht="14.4" customHeight="1" x14ac:dyDescent="0.3"/>
    <row r="16" spans="1:179" x14ac:dyDescent="0.3">
      <c r="C16" s="20" t="s">
        <v>116</v>
      </c>
      <c r="U16" s="19"/>
      <c r="V16" s="19"/>
      <c r="W16" s="19"/>
      <c r="X16" s="19"/>
      <c r="Y16" s="19"/>
      <c r="Z16" s="19"/>
      <c r="AA16" s="19"/>
      <c r="AB16" s="19"/>
      <c r="AC16" s="19"/>
      <c r="AD16" s="19"/>
      <c r="AE16" s="19"/>
      <c r="AF16" s="19"/>
      <c r="AG16" s="19"/>
      <c r="AH16" s="19"/>
      <c r="AI16" s="19"/>
      <c r="AJ16" s="19"/>
      <c r="AK16" s="19"/>
      <c r="AL16" s="19"/>
      <c r="AM16" s="19"/>
      <c r="AN16" s="19"/>
      <c r="AO16" s="19"/>
    </row>
    <row r="17" spans="3:41" ht="14.4" customHeight="1" x14ac:dyDescent="0.3">
      <c r="D17" s="114" t="s">
        <v>1381</v>
      </c>
      <c r="E17" s="114"/>
      <c r="F17" s="114"/>
      <c r="G17" s="114"/>
      <c r="H17" s="114"/>
      <c r="I17" s="114"/>
      <c r="J17" s="114"/>
      <c r="K17" s="114"/>
      <c r="L17" s="114"/>
      <c r="M17" s="114"/>
      <c r="N17" s="114"/>
      <c r="O17" s="22"/>
      <c r="P17" s="22"/>
      <c r="U17" s="19"/>
      <c r="V17" s="19"/>
      <c r="W17" s="19"/>
      <c r="X17" s="19"/>
      <c r="Y17" s="19"/>
      <c r="Z17" s="19"/>
      <c r="AA17" s="19"/>
      <c r="AB17" s="19"/>
      <c r="AC17" s="19"/>
      <c r="AD17" s="19"/>
      <c r="AE17" s="19"/>
      <c r="AF17" s="19"/>
      <c r="AG17" s="19"/>
      <c r="AH17" s="19"/>
      <c r="AI17" s="19"/>
      <c r="AJ17" s="19"/>
      <c r="AK17" s="19"/>
      <c r="AL17" s="19"/>
      <c r="AM17" s="19"/>
      <c r="AN17" s="19"/>
      <c r="AO17" s="19"/>
    </row>
    <row r="18" spans="3:41" x14ac:dyDescent="0.3">
      <c r="C18" s="21" t="s">
        <v>118</v>
      </c>
    </row>
    <row r="19" spans="3:41" x14ac:dyDescent="0.3">
      <c r="D19" s="115"/>
      <c r="E19" s="115"/>
      <c r="F19" s="115"/>
      <c r="G19" s="115"/>
      <c r="H19" s="115"/>
      <c r="I19" s="115"/>
      <c r="J19" s="115"/>
      <c r="K19" s="115"/>
      <c r="L19" s="115"/>
      <c r="M19" s="115"/>
      <c r="N19" s="115"/>
      <c r="O19" s="115"/>
      <c r="P19" s="115"/>
    </row>
    <row r="20" spans="3:41" x14ac:dyDescent="0.3">
      <c r="C20" s="21" t="s">
        <v>119</v>
      </c>
    </row>
    <row r="21" spans="3:41" x14ac:dyDescent="0.3">
      <c r="D21" s="115"/>
      <c r="E21" s="115"/>
      <c r="F21" s="115"/>
      <c r="G21" s="115"/>
      <c r="H21" s="115"/>
      <c r="I21" s="115"/>
      <c r="J21" s="115"/>
      <c r="K21" s="115"/>
      <c r="L21" s="115"/>
      <c r="M21" s="115"/>
      <c r="N21" s="115"/>
      <c r="O21" s="115"/>
      <c r="P21" s="115"/>
    </row>
    <row r="22" spans="3:41" x14ac:dyDescent="0.3">
      <c r="D22" s="22"/>
      <c r="E22" s="22"/>
      <c r="F22" s="22"/>
      <c r="G22" s="22"/>
      <c r="H22" s="22"/>
      <c r="I22" s="22"/>
      <c r="J22" s="22"/>
      <c r="K22" s="22"/>
      <c r="L22" s="22"/>
      <c r="M22" s="22"/>
      <c r="N22" s="22"/>
      <c r="O22" s="22"/>
      <c r="P22" s="22"/>
    </row>
    <row r="23" spans="3:41" x14ac:dyDescent="0.3">
      <c r="C23" s="3" t="s">
        <v>120</v>
      </c>
      <c r="D23" s="23"/>
      <c r="E23" s="23"/>
      <c r="F23" s="3"/>
      <c r="G23" s="3"/>
      <c r="H23" s="3"/>
      <c r="I23" s="3"/>
      <c r="J23" s="3"/>
      <c r="K23" s="3"/>
      <c r="L23" s="3"/>
      <c r="M23" s="3"/>
      <c r="N23" s="3"/>
      <c r="O23" s="3"/>
      <c r="P23" s="3"/>
    </row>
    <row r="26" spans="3:41" x14ac:dyDescent="0.3">
      <c r="C26" s="3" t="s">
        <v>121</v>
      </c>
      <c r="D26" s="3"/>
      <c r="E26" s="3"/>
      <c r="F26" s="3"/>
      <c r="G26" s="3"/>
      <c r="H26" s="3"/>
      <c r="I26" s="3"/>
      <c r="J26" s="3"/>
      <c r="K26" s="3"/>
      <c r="L26" s="3"/>
      <c r="M26" s="3"/>
      <c r="N26" s="3"/>
      <c r="O26" s="3"/>
      <c r="P26" s="3"/>
    </row>
    <row r="153" ht="44.4" customHeight="1" x14ac:dyDescent="0.3"/>
    <row r="155" ht="14.4" customHeight="1" x14ac:dyDescent="0.3"/>
    <row r="167" ht="14.4" customHeight="1" x14ac:dyDescent="0.3"/>
  </sheetData>
  <mergeCells count="3">
    <mergeCell ref="D17:N17"/>
    <mergeCell ref="D19:P19"/>
    <mergeCell ref="D21:P2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F4216-B2AE-43FA-9F60-2E39A744B920}">
  <dimension ref="A2:AX122"/>
  <sheetViews>
    <sheetView topLeftCell="A58" workbookViewId="0"/>
  </sheetViews>
  <sheetFormatPr defaultRowHeight="14.4" x14ac:dyDescent="0.3"/>
  <cols>
    <col min="3" max="3" width="52.88671875" bestFit="1" customWidth="1"/>
    <col min="4" max="4" width="40.5546875" bestFit="1" customWidth="1"/>
    <col min="5" max="5" width="21.5546875" bestFit="1" customWidth="1"/>
    <col min="6" max="6" width="15" bestFit="1" customWidth="1"/>
    <col min="7" max="7" width="18.44140625" bestFit="1" customWidth="1"/>
    <col min="8" max="9" width="9.88671875" bestFit="1" customWidth="1"/>
    <col min="10" max="10" width="9.109375" bestFit="1" customWidth="1"/>
    <col min="11" max="11" width="8.5546875" bestFit="1" customWidth="1"/>
    <col min="12" max="12" width="28.44140625" bestFit="1" customWidth="1"/>
    <col min="13" max="13" width="26.44140625" bestFit="1" customWidth="1"/>
    <col min="14" max="14" width="8.5546875" bestFit="1" customWidth="1"/>
    <col min="15" max="15" width="11.5546875" bestFit="1" customWidth="1"/>
    <col min="16" max="16" width="11.109375" bestFit="1" customWidth="1"/>
    <col min="17" max="17" width="7.44140625" bestFit="1" customWidth="1"/>
    <col min="18" max="18" width="9.5546875" bestFit="1" customWidth="1"/>
  </cols>
  <sheetData>
    <row r="2" spans="1:50" x14ac:dyDescent="0.3">
      <c r="B2" s="1" t="s">
        <v>1382</v>
      </c>
      <c r="C2" s="1"/>
      <c r="D2" s="1"/>
      <c r="E2" s="1"/>
      <c r="F2" s="1"/>
      <c r="G2" s="1"/>
      <c r="H2" s="1"/>
      <c r="I2" s="1"/>
      <c r="J2" s="1"/>
      <c r="K2" s="1"/>
      <c r="L2" s="1"/>
      <c r="M2" s="1"/>
      <c r="N2" s="1"/>
      <c r="O2" s="1"/>
    </row>
    <row r="4" spans="1:50" x14ac:dyDescent="0.3">
      <c r="C4" s="3" t="s">
        <v>52</v>
      </c>
      <c r="D4" s="3"/>
      <c r="E4" s="3"/>
      <c r="F4" s="3"/>
      <c r="G4" s="3"/>
      <c r="H4" s="3"/>
      <c r="I4" s="3"/>
      <c r="J4" s="3"/>
      <c r="K4" s="3"/>
      <c r="L4" s="3"/>
      <c r="M4" s="3"/>
      <c r="N4" s="3"/>
      <c r="O4" s="3"/>
      <c r="P4" s="3"/>
    </row>
    <row r="5" spans="1:50" x14ac:dyDescent="0.3">
      <c r="C5" s="4" t="s">
        <v>54</v>
      </c>
      <c r="D5" s="4" t="s">
        <v>390</v>
      </c>
      <c r="E5" s="4" t="s">
        <v>1383</v>
      </c>
      <c r="F5" s="4" t="s">
        <v>1384</v>
      </c>
      <c r="G5" s="4" t="s">
        <v>1385</v>
      </c>
      <c r="H5" s="4" t="s">
        <v>1386</v>
      </c>
      <c r="I5" s="4" t="s">
        <v>1387</v>
      </c>
      <c r="J5" s="4" t="s">
        <v>1388</v>
      </c>
      <c r="K5" s="4" t="s">
        <v>1389</v>
      </c>
      <c r="L5" s="4" t="s">
        <v>1390</v>
      </c>
      <c r="M5" s="4" t="s">
        <v>1391</v>
      </c>
      <c r="N5" s="4" t="s">
        <v>1392</v>
      </c>
      <c r="O5" s="4" t="s">
        <v>1393</v>
      </c>
      <c r="P5" s="4" t="s">
        <v>1394</v>
      </c>
      <c r="Q5" s="4" t="s">
        <v>1395</v>
      </c>
      <c r="R5" s="4" t="s">
        <v>1396</v>
      </c>
      <c r="S5" s="4" t="s">
        <v>1397</v>
      </c>
      <c r="T5" s="4" t="s">
        <v>1398</v>
      </c>
      <c r="U5" s="4" t="s">
        <v>1399</v>
      </c>
      <c r="V5" s="4" t="s">
        <v>1400</v>
      </c>
      <c r="W5" s="4" t="s">
        <v>1401</v>
      </c>
      <c r="X5" s="4" t="s">
        <v>1402</v>
      </c>
      <c r="Y5" s="4" t="s">
        <v>1403</v>
      </c>
      <c r="Z5" s="4" t="s">
        <v>1404</v>
      </c>
      <c r="AA5" s="4" t="s">
        <v>1405</v>
      </c>
      <c r="AB5" s="4" t="s">
        <v>399</v>
      </c>
      <c r="AC5" s="4" t="s">
        <v>1406</v>
      </c>
      <c r="AD5" s="4" t="s">
        <v>1407</v>
      </c>
      <c r="AE5" s="4" t="s">
        <v>1408</v>
      </c>
      <c r="AF5" s="4" t="s">
        <v>1409</v>
      </c>
      <c r="AG5" s="4" t="s">
        <v>1410</v>
      </c>
      <c r="AH5" s="4" t="s">
        <v>1411</v>
      </c>
      <c r="AI5" s="4" t="s">
        <v>1412</v>
      </c>
      <c r="AJ5" s="4" t="s">
        <v>1413</v>
      </c>
      <c r="AK5" s="4" t="s">
        <v>1414</v>
      </c>
      <c r="AL5" s="4" t="s">
        <v>1415</v>
      </c>
      <c r="AM5" s="4" t="s">
        <v>1416</v>
      </c>
      <c r="AN5" s="4" t="s">
        <v>1417</v>
      </c>
      <c r="AO5" s="4" t="s">
        <v>1418</v>
      </c>
      <c r="AP5" s="84" t="s">
        <v>1419</v>
      </c>
      <c r="AQ5" s="84" t="s">
        <v>1420</v>
      </c>
      <c r="AR5" s="4" t="s">
        <v>1421</v>
      </c>
      <c r="AS5" s="4" t="s">
        <v>1422</v>
      </c>
      <c r="AT5" s="4" t="s">
        <v>1423</v>
      </c>
      <c r="AU5" s="4" t="s">
        <v>1424</v>
      </c>
      <c r="AV5" s="4" t="s">
        <v>110</v>
      </c>
      <c r="AW5" s="4" t="s">
        <v>402</v>
      </c>
      <c r="AX5" s="4" t="s">
        <v>1425</v>
      </c>
    </row>
    <row r="6" spans="1:50" x14ac:dyDescent="0.3">
      <c r="C6" s="5">
        <v>45657</v>
      </c>
      <c r="D6" s="4" t="s">
        <v>403</v>
      </c>
      <c r="E6" s="4">
        <v>342613</v>
      </c>
      <c r="F6" s="4">
        <v>342613</v>
      </c>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c r="Z6" s="4">
        <v>0</v>
      </c>
      <c r="AA6" s="4">
        <v>0</v>
      </c>
      <c r="AB6" s="6">
        <v>342613</v>
      </c>
      <c r="AC6" s="7">
        <v>342613</v>
      </c>
      <c r="AD6" s="4">
        <v>0</v>
      </c>
      <c r="AE6" s="4">
        <v>0</v>
      </c>
      <c r="AF6" s="4">
        <v>0</v>
      </c>
      <c r="AG6" s="4">
        <v>0</v>
      </c>
      <c r="AH6" s="4">
        <v>0</v>
      </c>
      <c r="AI6" s="7">
        <v>336238</v>
      </c>
      <c r="AJ6" s="4">
        <v>0</v>
      </c>
      <c r="AK6" s="7">
        <v>336217</v>
      </c>
      <c r="AL6" s="7">
        <v>336238</v>
      </c>
      <c r="AM6" s="7">
        <v>342613</v>
      </c>
      <c r="AN6" s="7">
        <v>336217</v>
      </c>
      <c r="AO6" s="82">
        <v>0</v>
      </c>
      <c r="AP6" s="7">
        <v>342613</v>
      </c>
      <c r="AQ6" s="7">
        <v>342613</v>
      </c>
      <c r="AR6" s="83">
        <v>0</v>
      </c>
      <c r="AS6" s="7">
        <v>6375</v>
      </c>
      <c r="AT6" s="7">
        <v>6375</v>
      </c>
      <c r="AU6" s="4">
        <v>0</v>
      </c>
      <c r="AV6" s="4">
        <v>0</v>
      </c>
      <c r="AW6" s="6">
        <v>342613</v>
      </c>
      <c r="AX6" s="4">
        <v>0</v>
      </c>
    </row>
    <row r="7" spans="1:50" s="19" customFormat="1" x14ac:dyDescent="0.3">
      <c r="A7"/>
      <c r="B7" t="s">
        <v>111</v>
      </c>
      <c r="C7" s="75"/>
      <c r="D7" s="78"/>
      <c r="E7" s="79"/>
      <c r="G7" s="85">
        <f t="shared" ref="G7:AX7" si="0">($E$6-(G6))/$E$6</f>
        <v>1</v>
      </c>
      <c r="H7" s="85">
        <f t="shared" si="0"/>
        <v>1</v>
      </c>
      <c r="I7" s="85">
        <f t="shared" si="0"/>
        <v>1</v>
      </c>
      <c r="J7" s="85">
        <f t="shared" si="0"/>
        <v>1</v>
      </c>
      <c r="K7" s="85">
        <f t="shared" si="0"/>
        <v>1</v>
      </c>
      <c r="L7" s="85">
        <f t="shared" si="0"/>
        <v>1</v>
      </c>
      <c r="M7" s="85">
        <f t="shared" si="0"/>
        <v>1</v>
      </c>
      <c r="N7" s="85">
        <f t="shared" si="0"/>
        <v>1</v>
      </c>
      <c r="O7" s="85">
        <f t="shared" si="0"/>
        <v>1</v>
      </c>
      <c r="P7" s="85">
        <f t="shared" si="0"/>
        <v>1</v>
      </c>
      <c r="Q7" s="85">
        <f t="shared" si="0"/>
        <v>1</v>
      </c>
      <c r="R7" s="85">
        <f t="shared" si="0"/>
        <v>1</v>
      </c>
      <c r="S7" s="85">
        <f t="shared" si="0"/>
        <v>1</v>
      </c>
      <c r="T7" s="85">
        <f t="shared" si="0"/>
        <v>1</v>
      </c>
      <c r="U7" s="85">
        <f t="shared" si="0"/>
        <v>1</v>
      </c>
      <c r="V7" s="85">
        <f t="shared" si="0"/>
        <v>1</v>
      </c>
      <c r="W7" s="85">
        <f t="shared" si="0"/>
        <v>1</v>
      </c>
      <c r="X7" s="85">
        <f t="shared" si="0"/>
        <v>1</v>
      </c>
      <c r="Y7" s="85">
        <f t="shared" si="0"/>
        <v>1</v>
      </c>
      <c r="Z7" s="85">
        <f t="shared" si="0"/>
        <v>1</v>
      </c>
      <c r="AA7" s="85">
        <f t="shared" si="0"/>
        <v>1</v>
      </c>
      <c r="AB7" s="85">
        <f t="shared" si="0"/>
        <v>0</v>
      </c>
      <c r="AC7" s="85">
        <f t="shared" si="0"/>
        <v>0</v>
      </c>
      <c r="AD7" s="85">
        <f t="shared" si="0"/>
        <v>1</v>
      </c>
      <c r="AE7" s="85">
        <f t="shared" si="0"/>
        <v>1</v>
      </c>
      <c r="AF7" s="85">
        <f t="shared" si="0"/>
        <v>1</v>
      </c>
      <c r="AG7" s="85">
        <f t="shared" si="0"/>
        <v>1</v>
      </c>
      <c r="AH7" s="85">
        <f t="shared" si="0"/>
        <v>1</v>
      </c>
      <c r="AI7" s="85">
        <f t="shared" si="0"/>
        <v>1.8606999734394201E-2</v>
      </c>
      <c r="AJ7" s="85">
        <f t="shared" si="0"/>
        <v>1</v>
      </c>
      <c r="AK7" s="85">
        <f t="shared" si="0"/>
        <v>1.8668293380578085E-2</v>
      </c>
      <c r="AL7" s="85">
        <f t="shared" si="0"/>
        <v>1.8606999734394201E-2</v>
      </c>
      <c r="AM7" s="85">
        <f t="shared" si="0"/>
        <v>0</v>
      </c>
      <c r="AN7" s="85">
        <f t="shared" si="0"/>
        <v>1.8668293380578085E-2</v>
      </c>
      <c r="AO7" s="85">
        <f t="shared" si="0"/>
        <v>1</v>
      </c>
      <c r="AP7" s="85">
        <f t="shared" si="0"/>
        <v>0</v>
      </c>
      <c r="AQ7" s="85">
        <f t="shared" si="0"/>
        <v>0</v>
      </c>
      <c r="AR7" s="85">
        <f t="shared" si="0"/>
        <v>1</v>
      </c>
      <c r="AS7" s="85">
        <f t="shared" si="0"/>
        <v>0.98139300026560583</v>
      </c>
      <c r="AT7" s="85">
        <f t="shared" si="0"/>
        <v>0.98139300026560583</v>
      </c>
      <c r="AU7" s="85">
        <f t="shared" si="0"/>
        <v>1</v>
      </c>
      <c r="AV7" s="85">
        <f t="shared" si="0"/>
        <v>1</v>
      </c>
      <c r="AW7" s="85">
        <f t="shared" si="0"/>
        <v>0</v>
      </c>
      <c r="AX7" s="85">
        <f t="shared" si="0"/>
        <v>1</v>
      </c>
    </row>
    <row r="8" spans="1:50" s="19" customFormat="1" x14ac:dyDescent="0.3">
      <c r="C8" s="14"/>
      <c r="D8" s="65"/>
      <c r="E8" s="66"/>
      <c r="F8" s="66"/>
      <c r="G8" s="66"/>
      <c r="H8" s="67"/>
      <c r="I8" s="67"/>
      <c r="J8" s="67"/>
      <c r="K8" s="67"/>
      <c r="L8" s="67"/>
      <c r="M8" s="67"/>
      <c r="N8" s="12"/>
      <c r="O8" s="12"/>
      <c r="P8" s="14"/>
      <c r="Q8" s="14"/>
      <c r="R8" s="14"/>
    </row>
    <row r="9" spans="1:50" x14ac:dyDescent="0.3">
      <c r="C9" s="3" t="s">
        <v>113</v>
      </c>
      <c r="D9" s="3"/>
      <c r="E9" s="3"/>
      <c r="F9" s="3"/>
      <c r="G9" s="3"/>
      <c r="H9" s="3"/>
      <c r="I9" s="3"/>
      <c r="J9" s="3"/>
      <c r="K9" s="3"/>
      <c r="L9" s="3"/>
      <c r="M9" s="3"/>
      <c r="N9" s="3"/>
      <c r="O9" s="3"/>
      <c r="P9" s="3"/>
    </row>
    <row r="11" spans="1:50" x14ac:dyDescent="0.3">
      <c r="C11" s="81" t="s">
        <v>114</v>
      </c>
    </row>
    <row r="13" spans="1:50" x14ac:dyDescent="0.3">
      <c r="C13" s="81" t="s">
        <v>116</v>
      </c>
    </row>
    <row r="14" spans="1:50" ht="14.4" customHeight="1" x14ac:dyDescent="0.3">
      <c r="D14" s="116" t="s">
        <v>1426</v>
      </c>
      <c r="E14" s="117"/>
      <c r="F14" s="117"/>
      <c r="G14" s="117"/>
      <c r="H14" s="117"/>
      <c r="I14" s="117"/>
      <c r="J14" s="117"/>
      <c r="K14" s="117"/>
      <c r="L14" s="117"/>
      <c r="M14" s="117"/>
      <c r="N14" s="117"/>
      <c r="O14" s="22"/>
      <c r="P14" s="22"/>
    </row>
    <row r="15" spans="1:50" x14ac:dyDescent="0.3">
      <c r="C15" s="21" t="s">
        <v>118</v>
      </c>
    </row>
    <row r="16" spans="1:50" x14ac:dyDescent="0.3">
      <c r="D16" s="115"/>
      <c r="E16" s="115"/>
      <c r="F16" s="115"/>
      <c r="G16" s="115"/>
      <c r="H16" s="115"/>
      <c r="I16" s="115"/>
      <c r="J16" s="115"/>
      <c r="K16" s="115"/>
      <c r="L16" s="115"/>
      <c r="M16" s="115"/>
      <c r="N16" s="115"/>
      <c r="O16" s="115"/>
      <c r="P16" s="115"/>
    </row>
    <row r="17" spans="3:16" x14ac:dyDescent="0.3">
      <c r="C17" s="21" t="s">
        <v>119</v>
      </c>
    </row>
    <row r="18" spans="3:16" x14ac:dyDescent="0.3">
      <c r="D18" s="115"/>
      <c r="E18" s="115"/>
      <c r="F18" s="115"/>
      <c r="G18" s="115"/>
      <c r="H18" s="115"/>
      <c r="I18" s="115"/>
      <c r="J18" s="115"/>
      <c r="K18" s="115"/>
      <c r="L18" s="115"/>
      <c r="M18" s="115"/>
      <c r="N18" s="115"/>
      <c r="O18" s="115"/>
      <c r="P18" s="115"/>
    </row>
    <row r="19" spans="3:16" x14ac:dyDescent="0.3">
      <c r="D19" s="22"/>
      <c r="E19" s="22"/>
      <c r="F19" s="22"/>
      <c r="G19" s="22"/>
      <c r="H19" s="22"/>
      <c r="I19" s="22"/>
      <c r="J19" s="22"/>
      <c r="K19" s="22"/>
      <c r="L19" s="22"/>
      <c r="M19" s="22"/>
      <c r="N19" s="22"/>
      <c r="O19" s="22"/>
      <c r="P19" s="22"/>
    </row>
    <row r="20" spans="3:16" x14ac:dyDescent="0.3">
      <c r="C20" s="3" t="s">
        <v>120</v>
      </c>
      <c r="D20" s="23"/>
      <c r="E20" s="23"/>
      <c r="F20" s="3"/>
      <c r="G20" s="3"/>
      <c r="H20" s="3"/>
      <c r="I20" s="3"/>
      <c r="J20" s="3"/>
      <c r="K20" s="3"/>
      <c r="L20" s="3"/>
      <c r="M20" s="3"/>
      <c r="N20" s="3"/>
      <c r="O20" s="3"/>
      <c r="P20" s="3"/>
    </row>
    <row r="22" spans="3:16" x14ac:dyDescent="0.3">
      <c r="C22" s="4" t="s">
        <v>1406</v>
      </c>
      <c r="D22" s="7">
        <v>342613</v>
      </c>
      <c r="E22" s="25" t="s">
        <v>1427</v>
      </c>
    </row>
    <row r="23" spans="3:16" x14ac:dyDescent="0.3">
      <c r="C23" s="4" t="s">
        <v>1412</v>
      </c>
      <c r="D23" s="7">
        <v>336238</v>
      </c>
      <c r="E23" s="25" t="s">
        <v>1428</v>
      </c>
    </row>
    <row r="24" spans="3:16" x14ac:dyDescent="0.3">
      <c r="C24" s="4" t="s">
        <v>1414</v>
      </c>
      <c r="D24" s="7">
        <v>336217</v>
      </c>
      <c r="E24" s="25" t="s">
        <v>1429</v>
      </c>
    </row>
    <row r="25" spans="3:16" x14ac:dyDescent="0.3">
      <c r="C25" s="4" t="s">
        <v>1415</v>
      </c>
      <c r="D25" s="7">
        <v>336238</v>
      </c>
      <c r="E25" s="25" t="s">
        <v>1430</v>
      </c>
    </row>
    <row r="26" spans="3:16" x14ac:dyDescent="0.3">
      <c r="C26" s="4" t="s">
        <v>1416</v>
      </c>
      <c r="D26" s="7">
        <v>342613</v>
      </c>
      <c r="E26" s="25" t="s">
        <v>1431</v>
      </c>
    </row>
    <row r="27" spans="3:16" x14ac:dyDescent="0.3">
      <c r="C27" s="4" t="s">
        <v>1417</v>
      </c>
      <c r="D27" s="7">
        <v>336217</v>
      </c>
      <c r="E27" s="25" t="s">
        <v>1432</v>
      </c>
    </row>
    <row r="28" spans="3:16" x14ac:dyDescent="0.3">
      <c r="C28" s="84" t="s">
        <v>1419</v>
      </c>
      <c r="D28" s="7">
        <v>342613</v>
      </c>
      <c r="E28" s="25" t="s">
        <v>1433</v>
      </c>
    </row>
    <row r="29" spans="3:16" x14ac:dyDescent="0.3">
      <c r="C29" s="84" t="s">
        <v>1420</v>
      </c>
      <c r="D29" s="7">
        <v>342613</v>
      </c>
      <c r="E29" s="25" t="s">
        <v>1433</v>
      </c>
    </row>
    <row r="30" spans="3:16" x14ac:dyDescent="0.3">
      <c r="C30" s="4" t="s">
        <v>1422</v>
      </c>
      <c r="D30" s="7">
        <v>6375</v>
      </c>
      <c r="E30" s="25" t="s">
        <v>1434</v>
      </c>
    </row>
    <row r="31" spans="3:16" x14ac:dyDescent="0.3">
      <c r="C31" s="4" t="s">
        <v>1423</v>
      </c>
      <c r="D31" s="7">
        <v>6375</v>
      </c>
      <c r="E31" s="25" t="s">
        <v>1435</v>
      </c>
    </row>
    <row r="33" spans="3:16" x14ac:dyDescent="0.3">
      <c r="C33" s="3" t="s">
        <v>1436</v>
      </c>
      <c r="D33" s="3"/>
      <c r="E33" s="3"/>
      <c r="F33" s="3"/>
      <c r="G33" s="3"/>
      <c r="H33" s="3"/>
      <c r="I33" s="3"/>
      <c r="J33" s="3"/>
      <c r="K33" s="3"/>
      <c r="L33" s="3"/>
      <c r="M33" s="3"/>
      <c r="N33" s="3"/>
      <c r="O33" s="3"/>
      <c r="P33" s="3"/>
    </row>
    <row r="35" spans="3:16" x14ac:dyDescent="0.3">
      <c r="C35" t="s">
        <v>753</v>
      </c>
    </row>
    <row r="36" spans="3:16" x14ac:dyDescent="0.3">
      <c r="C36" t="s">
        <v>1437</v>
      </c>
    </row>
    <row r="37" spans="3:16" x14ac:dyDescent="0.3">
      <c r="C37" t="s">
        <v>1438</v>
      </c>
    </row>
    <row r="38" spans="3:16" x14ac:dyDescent="0.3">
      <c r="C38" t="s">
        <v>1439</v>
      </c>
    </row>
    <row r="39" spans="3:16" x14ac:dyDescent="0.3">
      <c r="C39" t="s">
        <v>1440</v>
      </c>
    </row>
    <row r="40" spans="3:16" x14ac:dyDescent="0.3">
      <c r="C40" t="s">
        <v>1441</v>
      </c>
    </row>
    <row r="41" spans="3:16" x14ac:dyDescent="0.3">
      <c r="C41" t="s">
        <v>1442</v>
      </c>
    </row>
    <row r="42" spans="3:16" x14ac:dyDescent="0.3">
      <c r="C42" t="s">
        <v>1443</v>
      </c>
    </row>
    <row r="43" spans="3:16" x14ac:dyDescent="0.3">
      <c r="C43" t="s">
        <v>1444</v>
      </c>
    </row>
    <row r="44" spans="3:16" x14ac:dyDescent="0.3">
      <c r="C44" t="s">
        <v>1445</v>
      </c>
    </row>
    <row r="45" spans="3:16" x14ac:dyDescent="0.3">
      <c r="C45" t="s">
        <v>1446</v>
      </c>
    </row>
    <row r="46" spans="3:16" x14ac:dyDescent="0.3">
      <c r="C46" t="s">
        <v>1447</v>
      </c>
    </row>
    <row r="47" spans="3:16" x14ac:dyDescent="0.3">
      <c r="C47" t="s">
        <v>1448</v>
      </c>
    </row>
    <row r="48" spans="3:16" x14ac:dyDescent="0.3">
      <c r="C48" t="s">
        <v>1449</v>
      </c>
    </row>
    <row r="49" spans="3:3" x14ac:dyDescent="0.3">
      <c r="C49" t="s">
        <v>771</v>
      </c>
    </row>
    <row r="50" spans="3:3" x14ac:dyDescent="0.3">
      <c r="C50" t="s">
        <v>1450</v>
      </c>
    </row>
    <row r="51" spans="3:3" x14ac:dyDescent="0.3">
      <c r="C51" t="s">
        <v>1451</v>
      </c>
    </row>
    <row r="52" spans="3:3" x14ac:dyDescent="0.3">
      <c r="C52" t="s">
        <v>1452</v>
      </c>
    </row>
    <row r="53" spans="3:3" x14ac:dyDescent="0.3">
      <c r="C53" t="s">
        <v>1453</v>
      </c>
    </row>
    <row r="54" spans="3:3" x14ac:dyDescent="0.3">
      <c r="C54" t="s">
        <v>1454</v>
      </c>
    </row>
    <row r="55" spans="3:3" x14ac:dyDescent="0.3">
      <c r="C55" t="s">
        <v>1455</v>
      </c>
    </row>
    <row r="56" spans="3:3" x14ac:dyDescent="0.3">
      <c r="C56" t="s">
        <v>1456</v>
      </c>
    </row>
    <row r="57" spans="3:3" x14ac:dyDescent="0.3">
      <c r="C57" t="s">
        <v>1457</v>
      </c>
    </row>
    <row r="58" spans="3:3" x14ac:dyDescent="0.3">
      <c r="C58" t="s">
        <v>1458</v>
      </c>
    </row>
    <row r="59" spans="3:3" x14ac:dyDescent="0.3">
      <c r="C59" t="s">
        <v>1459</v>
      </c>
    </row>
    <row r="60" spans="3:3" x14ac:dyDescent="0.3">
      <c r="C60" t="s">
        <v>1460</v>
      </c>
    </row>
    <row r="61" spans="3:3" x14ac:dyDescent="0.3">
      <c r="C61" t="s">
        <v>1461</v>
      </c>
    </row>
    <row r="62" spans="3:3" x14ac:dyDescent="0.3">
      <c r="C62" t="s">
        <v>1462</v>
      </c>
    </row>
    <row r="63" spans="3:3" x14ac:dyDescent="0.3">
      <c r="C63" t="s">
        <v>1463</v>
      </c>
    </row>
    <row r="64" spans="3:3" x14ac:dyDescent="0.3">
      <c r="C64" t="s">
        <v>1464</v>
      </c>
    </row>
    <row r="65" spans="3:16" x14ac:dyDescent="0.3">
      <c r="C65" t="s">
        <v>1465</v>
      </c>
    </row>
    <row r="67" spans="3:16" x14ac:dyDescent="0.3">
      <c r="C67" t="s">
        <v>1466</v>
      </c>
    </row>
    <row r="68" spans="3:16" x14ac:dyDescent="0.3">
      <c r="C68" s="4" t="s">
        <v>54</v>
      </c>
      <c r="D68" s="4" t="s">
        <v>390</v>
      </c>
      <c r="E68" s="4" t="s">
        <v>133</v>
      </c>
      <c r="F68" s="4" t="s">
        <v>846</v>
      </c>
      <c r="G68" s="4" t="s">
        <v>1406</v>
      </c>
      <c r="H68" s="4" t="s">
        <v>1412</v>
      </c>
      <c r="I68" s="4" t="s">
        <v>1414</v>
      </c>
      <c r="J68" s="4" t="s">
        <v>1415</v>
      </c>
      <c r="K68" s="4" t="s">
        <v>1416</v>
      </c>
      <c r="L68" s="4" t="s">
        <v>1417</v>
      </c>
      <c r="M68" s="4" t="s">
        <v>1422</v>
      </c>
      <c r="N68" s="4" t="s">
        <v>1423</v>
      </c>
      <c r="O68" s="4"/>
    </row>
    <row r="69" spans="3:16" x14ac:dyDescent="0.3">
      <c r="C69" s="5">
        <v>45657</v>
      </c>
      <c r="D69" s="4" t="s">
        <v>403</v>
      </c>
      <c r="E69" s="4">
        <v>342613</v>
      </c>
      <c r="F69" s="4">
        <v>342613</v>
      </c>
      <c r="G69" s="4">
        <v>0</v>
      </c>
      <c r="H69" s="4">
        <v>0</v>
      </c>
      <c r="I69" s="4">
        <v>0</v>
      </c>
      <c r="J69" s="4">
        <v>0</v>
      </c>
      <c r="K69" s="4">
        <v>0</v>
      </c>
      <c r="L69" s="4">
        <v>0</v>
      </c>
      <c r="M69" s="4">
        <v>0</v>
      </c>
      <c r="N69" s="4">
        <v>0</v>
      </c>
      <c r="O69" s="4"/>
    </row>
    <row r="71" spans="3:16" x14ac:dyDescent="0.3">
      <c r="C71" s="3" t="s">
        <v>1467</v>
      </c>
      <c r="D71" s="3"/>
      <c r="E71" s="3"/>
      <c r="F71" s="3"/>
      <c r="G71" s="3"/>
      <c r="H71" s="3"/>
      <c r="I71" s="3"/>
      <c r="J71" s="3"/>
      <c r="K71" s="3"/>
      <c r="L71" s="3"/>
      <c r="M71" s="3"/>
      <c r="N71" s="3"/>
      <c r="O71" s="3"/>
      <c r="P71" s="3"/>
    </row>
    <row r="73" spans="3:16" x14ac:dyDescent="0.3">
      <c r="C73" t="s">
        <v>1468</v>
      </c>
    </row>
    <row r="74" spans="3:16" x14ac:dyDescent="0.3">
      <c r="C74" t="s">
        <v>1437</v>
      </c>
    </row>
    <row r="75" spans="3:16" x14ac:dyDescent="0.3">
      <c r="C75" t="s">
        <v>1469</v>
      </c>
    </row>
    <row r="76" spans="3:16" x14ac:dyDescent="0.3">
      <c r="C76" t="s">
        <v>1470</v>
      </c>
    </row>
    <row r="77" spans="3:16" x14ac:dyDescent="0.3">
      <c r="C77" t="s">
        <v>1471</v>
      </c>
    </row>
    <row r="78" spans="3:16" x14ac:dyDescent="0.3">
      <c r="C78" t="s">
        <v>1472</v>
      </c>
    </row>
    <row r="79" spans="3:16" x14ac:dyDescent="0.3">
      <c r="C79" t="s">
        <v>1473</v>
      </c>
    </row>
    <row r="80" spans="3:16" x14ac:dyDescent="0.3">
      <c r="C80" t="s">
        <v>1474</v>
      </c>
    </row>
    <row r="81" spans="3:16" x14ac:dyDescent="0.3">
      <c r="C81" t="s">
        <v>1475</v>
      </c>
    </row>
    <row r="82" spans="3:16" x14ac:dyDescent="0.3">
      <c r="C82" t="s">
        <v>1476</v>
      </c>
    </row>
    <row r="83" spans="3:16" x14ac:dyDescent="0.3">
      <c r="C83" t="s">
        <v>1477</v>
      </c>
    </row>
    <row r="84" spans="3:16" x14ac:dyDescent="0.3">
      <c r="C84" t="s">
        <v>1478</v>
      </c>
    </row>
    <row r="85" spans="3:16" x14ac:dyDescent="0.3">
      <c r="C85" t="s">
        <v>1479</v>
      </c>
    </row>
    <row r="86" spans="3:16" x14ac:dyDescent="0.3">
      <c r="C86" t="s">
        <v>1480</v>
      </c>
    </row>
    <row r="87" spans="3:16" x14ac:dyDescent="0.3">
      <c r="C87" t="s">
        <v>1481</v>
      </c>
    </row>
    <row r="88" spans="3:16" x14ac:dyDescent="0.3">
      <c r="C88" t="s">
        <v>1482</v>
      </c>
    </row>
    <row r="89" spans="3:16" x14ac:dyDescent="0.3">
      <c r="C89" t="s">
        <v>1483</v>
      </c>
    </row>
    <row r="90" spans="3:16" x14ac:dyDescent="0.3">
      <c r="C90" t="s">
        <v>1484</v>
      </c>
    </row>
    <row r="92" spans="3:16" x14ac:dyDescent="0.3">
      <c r="C92" t="s">
        <v>1466</v>
      </c>
    </row>
    <row r="93" spans="3:16" x14ac:dyDescent="0.3">
      <c r="C93" s="4" t="s">
        <v>1485</v>
      </c>
      <c r="D93" s="4" t="s">
        <v>1486</v>
      </c>
      <c r="E93" s="4" t="s">
        <v>1487</v>
      </c>
      <c r="F93" s="4" t="s">
        <v>1488</v>
      </c>
      <c r="G93" s="4" t="s">
        <v>1489</v>
      </c>
      <c r="H93" s="4" t="s">
        <v>1490</v>
      </c>
      <c r="I93" s="4" t="s">
        <v>1491</v>
      </c>
      <c r="J93" s="4" t="s">
        <v>1492</v>
      </c>
      <c r="K93" s="4" t="s">
        <v>1493</v>
      </c>
      <c r="L93" s="4" t="s">
        <v>1494</v>
      </c>
      <c r="M93" s="4" t="s">
        <v>1495</v>
      </c>
      <c r="N93" s="4" t="s">
        <v>1496</v>
      </c>
    </row>
    <row r="94" spans="3:16" x14ac:dyDescent="0.3">
      <c r="C94" s="4">
        <v>0</v>
      </c>
      <c r="D94" s="6">
        <v>342613</v>
      </c>
      <c r="E94" s="4">
        <v>0</v>
      </c>
      <c r="F94" s="6">
        <v>342613</v>
      </c>
      <c r="G94" s="4">
        <v>0</v>
      </c>
      <c r="H94" s="6">
        <v>342613</v>
      </c>
      <c r="I94" s="4">
        <v>0</v>
      </c>
      <c r="J94" s="6">
        <v>6375</v>
      </c>
      <c r="K94" s="4">
        <v>0</v>
      </c>
      <c r="L94" s="6">
        <v>342613</v>
      </c>
      <c r="M94" s="4">
        <v>0</v>
      </c>
      <c r="N94" s="6">
        <v>342613</v>
      </c>
    </row>
    <row r="96" spans="3:16" x14ac:dyDescent="0.3">
      <c r="C96" s="3" t="s">
        <v>1497</v>
      </c>
      <c r="D96" s="3"/>
      <c r="E96" s="3"/>
      <c r="F96" s="3"/>
      <c r="G96" s="3"/>
      <c r="H96" s="3"/>
      <c r="I96" s="3"/>
      <c r="J96" s="3"/>
      <c r="K96" s="3"/>
      <c r="L96" s="3"/>
      <c r="M96" s="3"/>
      <c r="N96" s="3"/>
      <c r="O96" s="3"/>
      <c r="P96" s="3"/>
    </row>
    <row r="98" spans="3:3" x14ac:dyDescent="0.3">
      <c r="C98" t="s">
        <v>753</v>
      </c>
    </row>
    <row r="99" spans="3:3" x14ac:dyDescent="0.3">
      <c r="C99" t="s">
        <v>1498</v>
      </c>
    </row>
    <row r="100" spans="3:3" x14ac:dyDescent="0.3">
      <c r="C100" t="s">
        <v>1499</v>
      </c>
    </row>
    <row r="101" spans="3:3" x14ac:dyDescent="0.3">
      <c r="C101" t="s">
        <v>1500</v>
      </c>
    </row>
    <row r="102" spans="3:3" x14ac:dyDescent="0.3">
      <c r="C102" t="s">
        <v>1501</v>
      </c>
    </row>
    <row r="103" spans="3:3" x14ac:dyDescent="0.3">
      <c r="C103" t="s">
        <v>1502</v>
      </c>
    </row>
    <row r="104" spans="3:3" x14ac:dyDescent="0.3">
      <c r="C104" t="s">
        <v>1503</v>
      </c>
    </row>
    <row r="105" spans="3:3" x14ac:dyDescent="0.3">
      <c r="C105" t="s">
        <v>1504</v>
      </c>
    </row>
    <row r="106" spans="3:3" x14ac:dyDescent="0.3">
      <c r="C106" t="s">
        <v>1505</v>
      </c>
    </row>
    <row r="107" spans="3:3" x14ac:dyDescent="0.3">
      <c r="C107" t="s">
        <v>1506</v>
      </c>
    </row>
    <row r="108" spans="3:3" x14ac:dyDescent="0.3">
      <c r="C108" t="s">
        <v>766</v>
      </c>
    </row>
    <row r="109" spans="3:3" x14ac:dyDescent="0.3">
      <c r="C109" t="s">
        <v>767</v>
      </c>
    </row>
    <row r="110" spans="3:3" x14ac:dyDescent="0.3">
      <c r="C110" t="s">
        <v>1507</v>
      </c>
    </row>
    <row r="111" spans="3:3" x14ac:dyDescent="0.3">
      <c r="C111" t="s">
        <v>1508</v>
      </c>
    </row>
    <row r="112" spans="3:3" x14ac:dyDescent="0.3">
      <c r="C112" t="s">
        <v>1509</v>
      </c>
    </row>
    <row r="113" spans="3:16" x14ac:dyDescent="0.3">
      <c r="C113" t="s">
        <v>767</v>
      </c>
    </row>
    <row r="114" spans="3:16" x14ac:dyDescent="0.3">
      <c r="C114" t="s">
        <v>1507</v>
      </c>
    </row>
    <row r="115" spans="3:16" x14ac:dyDescent="0.3">
      <c r="C115" t="s">
        <v>1510</v>
      </c>
    </row>
    <row r="116" spans="3:16" x14ac:dyDescent="0.3">
      <c r="C116" t="s">
        <v>1511</v>
      </c>
    </row>
    <row r="117" spans="3:16" x14ac:dyDescent="0.3">
      <c r="C117" t="s">
        <v>1512</v>
      </c>
    </row>
    <row r="119" spans="3:16" x14ac:dyDescent="0.3">
      <c r="C119" t="s">
        <v>777</v>
      </c>
    </row>
    <row r="120" spans="3:16" x14ac:dyDescent="0.3">
      <c r="C120" s="32" t="s">
        <v>54</v>
      </c>
      <c r="D120" s="32" t="s">
        <v>390</v>
      </c>
      <c r="E120" s="32" t="s">
        <v>367</v>
      </c>
      <c r="F120" s="32" t="s">
        <v>367</v>
      </c>
      <c r="G120" s="32" t="s">
        <v>133</v>
      </c>
      <c r="H120" s="32" t="s">
        <v>1513</v>
      </c>
      <c r="I120" s="32" t="s">
        <v>1514</v>
      </c>
      <c r="J120" s="32" t="s">
        <v>1515</v>
      </c>
      <c r="K120" s="32" t="s">
        <v>1516</v>
      </c>
      <c r="L120" s="32" t="s">
        <v>1517</v>
      </c>
      <c r="M120" s="32" t="s">
        <v>1518</v>
      </c>
      <c r="N120" s="32" t="s">
        <v>1519</v>
      </c>
      <c r="O120" s="32" t="s">
        <v>1520</v>
      </c>
      <c r="P120" s="32"/>
    </row>
    <row r="121" spans="3:16" x14ac:dyDescent="0.3">
      <c r="C121" s="32" t="s">
        <v>183</v>
      </c>
      <c r="D121" s="32" t="s">
        <v>403</v>
      </c>
      <c r="E121" s="32" t="s">
        <v>1521</v>
      </c>
      <c r="F121" s="32" t="s">
        <v>1522</v>
      </c>
      <c r="G121" s="32" t="s">
        <v>1523</v>
      </c>
      <c r="H121" s="32" t="s">
        <v>404</v>
      </c>
      <c r="I121" s="32" t="s">
        <v>404</v>
      </c>
      <c r="J121" s="32" t="s">
        <v>404</v>
      </c>
      <c r="K121" s="33" t="s">
        <v>1523</v>
      </c>
      <c r="L121" s="32" t="s">
        <v>404</v>
      </c>
      <c r="M121" s="32" t="s">
        <v>404</v>
      </c>
      <c r="N121" s="32" t="s">
        <v>404</v>
      </c>
      <c r="O121" s="33" t="s">
        <v>1523</v>
      </c>
      <c r="P121" s="32"/>
    </row>
    <row r="122" spans="3:16" x14ac:dyDescent="0.3">
      <c r="K122" s="25" t="s">
        <v>1524</v>
      </c>
      <c r="O122" s="25" t="s">
        <v>1524</v>
      </c>
    </row>
  </sheetData>
  <mergeCells count="3">
    <mergeCell ref="D14:N14"/>
    <mergeCell ref="D16:P16"/>
    <mergeCell ref="D18:P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Behavioural_scoring_partitions</vt:lpstr>
      <vt:lpstr>Application_banking</vt:lpstr>
      <vt:lpstr>Banking_driver</vt:lpstr>
      <vt:lpstr>banking_irb2_model_ecb</vt:lpstr>
      <vt:lpstr>Internal_ratings_banking</vt:lpstr>
      <vt:lpstr>application_loan_partitions</vt:lpstr>
      <vt:lpstr>upl_driver</vt:lpstr>
      <vt:lpstr>upl_bh_score</vt:lpstr>
      <vt:lpstr>upl_irb2_model_ecb</vt:lpstr>
      <vt:lpstr>upl_model_pra</vt:lpstr>
      <vt:lpstr>Internal_ratings_upl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Surampudi, Surya Teja (Santander UK)</dc:creator>
  <cp:keywords/>
  <dc:description/>
  <cp:lastModifiedBy>Ioannides, Maryanne</cp:lastModifiedBy>
  <cp:revision/>
  <dcterms:created xsi:type="dcterms:W3CDTF">2025-06-16T08:20:26Z</dcterms:created>
  <dcterms:modified xsi:type="dcterms:W3CDTF">2025-07-31T09:44:39Z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2025-06-16T11:57:07Z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beb4191c-fb4d-4cfd-9669-25efd6348847</vt:lpwstr>
  </property>
  <property fmtid="{D5CDD505-2E9C-101B-9397-08002B2CF9AE}" pid="8" name="MSIP_Label_0c2abd79-57a9-4473-8700-c843f76a1e37_ContentBits">
    <vt:lpwstr>0</vt:lpwstr>
  </property>
  <property fmtid="{D5CDD505-2E9C-101B-9397-08002B2CF9AE}" pid="9" name="MSIP_Label_0c2abd79-57a9-4473-8700-c843f76a1e37_Tag">
    <vt:lpwstr>10, 0, 1, 1</vt:lpwstr>
  </property>
</Properties>
</file>